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00" yWindow="420" windowWidth="27555" windowHeight="12060" activeTab="2"/>
  </bookViews>
  <sheets>
    <sheet name="TONG HOP" sheetId="3" r:id="rId1"/>
    <sheet name="DANH SÁCH" sheetId="1" r:id="rId2"/>
    <sheet name="DANH GIA CA NHAN" sheetId="4" r:id="rId3"/>
  </sheets>
  <definedNames>
    <definedName name="_ĐÁNH_GIÁ_CÔNG" localSheetId="2">'DANH GIA CA NHAN'!#REF!</definedName>
    <definedName name="_ĐÁNH_GIÁ_TỔNG" localSheetId="2">'DANH GIA CA NHAN'!#REF!</definedName>
    <definedName name="_xlnm._FilterDatabase" localSheetId="1" hidden="1">'DANH SÁCH'!$A$9:$Y$403</definedName>
    <definedName name="_Hlk108062459" localSheetId="2">'DANH GIA CA NHAN'!$C$8</definedName>
    <definedName name="_Nắm_vững_chuyên" localSheetId="2">'DANH GIA CA NHAN'!#REF!</definedName>
    <definedName name="_Phối_hợp_tập" localSheetId="2">'DANH GIA CA NHAN'!#REF!</definedName>
    <definedName name="_Trách_nhiệm_và" localSheetId="2">'DANH GIA CA NHAN'!#REF!</definedName>
    <definedName name="Check1" localSheetId="2">'DANH GIA CA NHAN'!$M$13</definedName>
    <definedName name="OLE_LINK3" localSheetId="2">'DANH GIA CA NHAN'!#REF!</definedName>
    <definedName name="_xlnm.Print_Area" localSheetId="1">'DANH SÁCH'!$C$1:$S$407</definedName>
    <definedName name="_xlnm.Print_Titles" localSheetId="2">'DANH GIA CA NHAN'!$8:$10</definedName>
    <definedName name="_xlnm.Print_Titles" localSheetId="1">'DANH SÁCH'!$5:$7</definedName>
    <definedName name="_xlnm.Print_Titles" localSheetId="0">'TONG HOP'!$4:$6</definedName>
  </definedNames>
  <calcPr calcId="144525"/>
</workbook>
</file>

<file path=xl/calcChain.xml><?xml version="1.0" encoding="utf-8"?>
<calcChain xmlns="http://schemas.openxmlformats.org/spreadsheetml/2006/main">
  <c r="O15" i="4" l="1"/>
  <c r="O25" i="4"/>
  <c r="O31" i="4"/>
  <c r="O37" i="4"/>
  <c r="O43" i="4"/>
  <c r="O46" i="4"/>
  <c r="O50" i="4"/>
  <c r="O20" i="4"/>
  <c r="O14" i="4"/>
  <c r="O51" i="4"/>
  <c r="F8" i="1" l="1"/>
  <c r="C11" i="1" l="1"/>
  <c r="C12" i="1" l="1"/>
  <c r="E60" i="4"/>
  <c r="Q53" i="4"/>
  <c r="O53" i="4"/>
  <c r="Q52" i="4"/>
  <c r="O52" i="4"/>
  <c r="Q51" i="4"/>
  <c r="Q50" i="4"/>
  <c r="Q49" i="4"/>
  <c r="O49" i="4"/>
  <c r="M49" i="4"/>
  <c r="Q48" i="4"/>
  <c r="O48" i="4"/>
  <c r="Q47" i="4"/>
  <c r="O47" i="4"/>
  <c r="Q46" i="4"/>
  <c r="Q45" i="4"/>
  <c r="O45" i="4"/>
  <c r="M45" i="4"/>
  <c r="Q44" i="4"/>
  <c r="O44" i="4"/>
  <c r="Q43" i="4"/>
  <c r="Q42" i="4"/>
  <c r="O42" i="4"/>
  <c r="O41" i="4" s="1"/>
  <c r="Q41" i="4"/>
  <c r="M41" i="4"/>
  <c r="Q40" i="4"/>
  <c r="I63" i="4" s="1"/>
  <c r="J63" i="4" s="1"/>
  <c r="M40" i="4"/>
  <c r="Q38" i="4"/>
  <c r="O38" i="4"/>
  <c r="Q37" i="4"/>
  <c r="Q36" i="4"/>
  <c r="O36" i="4"/>
  <c r="O34" i="4" s="1"/>
  <c r="Q35" i="4"/>
  <c r="O35" i="4"/>
  <c r="Q34" i="4"/>
  <c r="M34" i="4"/>
  <c r="Q33" i="4"/>
  <c r="O33" i="4"/>
  <c r="Q32" i="4"/>
  <c r="O32" i="4"/>
  <c r="Q31" i="4"/>
  <c r="Q30" i="4"/>
  <c r="O30" i="4"/>
  <c r="Q29" i="4"/>
  <c r="Q28" i="4" s="1"/>
  <c r="I62" i="4" s="1"/>
  <c r="O29" i="4"/>
  <c r="M29" i="4"/>
  <c r="M28" i="4" s="1"/>
  <c r="Q26" i="4"/>
  <c r="O26" i="4"/>
  <c r="Q25" i="4"/>
  <c r="Q24" i="4"/>
  <c r="O24" i="4"/>
  <c r="O22" i="4" s="1"/>
  <c r="Q23" i="4"/>
  <c r="O23" i="4"/>
  <c r="Q22" i="4"/>
  <c r="M22" i="4"/>
  <c r="Q21" i="4"/>
  <c r="O21" i="4"/>
  <c r="Q20" i="4"/>
  <c r="Q19" i="4"/>
  <c r="O19" i="4"/>
  <c r="O17" i="4" s="1"/>
  <c r="Q18" i="4"/>
  <c r="O18" i="4"/>
  <c r="Q17" i="4"/>
  <c r="M17" i="4"/>
  <c r="Q16" i="4"/>
  <c r="O16" i="4"/>
  <c r="Q15" i="4"/>
  <c r="Q14" i="4"/>
  <c r="Q13" i="4"/>
  <c r="O13" i="4"/>
  <c r="Q12" i="4"/>
  <c r="Q11" i="4" s="1"/>
  <c r="I61" i="4" s="1"/>
  <c r="O12" i="4"/>
  <c r="M12" i="4"/>
  <c r="M11" i="4" s="1"/>
  <c r="O40" i="4" l="1"/>
  <c r="F63" i="4" s="1"/>
  <c r="G63" i="4" s="1"/>
  <c r="O28" i="4"/>
  <c r="F62" i="4" s="1"/>
  <c r="G62" i="4" s="1"/>
  <c r="O11" i="4"/>
  <c r="F61" i="4" s="1"/>
  <c r="G61" i="4" s="1"/>
  <c r="J62" i="4"/>
  <c r="J61" i="4"/>
  <c r="I60" i="4"/>
  <c r="J60" i="4" s="1"/>
  <c r="O62" i="4" s="1"/>
  <c r="F60" i="4" l="1"/>
  <c r="G60" i="4" s="1"/>
  <c r="O60" i="4" s="1"/>
  <c r="B8" i="1"/>
  <c r="C14" i="1" l="1"/>
  <c r="C16" i="1" l="1"/>
  <c r="C17" i="1" s="1"/>
  <c r="C19" i="1" s="1"/>
  <c r="C20" i="1" l="1"/>
  <c r="C21" i="1" l="1"/>
  <c r="C22" i="1" s="1"/>
  <c r="C23" i="1" s="1"/>
  <c r="C24" i="1" s="1"/>
  <c r="C26" i="1" s="1"/>
  <c r="C27" i="1" l="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C61" i="1" s="1"/>
  <c r="C62" i="1" s="1"/>
  <c r="C63" i="1" s="1"/>
  <c r="C64" i="1" s="1"/>
  <c r="C66" i="1" s="1"/>
  <c r="C67" i="1" s="1"/>
  <c r="C68" i="1" s="1"/>
  <c r="C69" i="1" s="1"/>
  <c r="C70" i="1" s="1"/>
  <c r="C71" i="1" s="1"/>
  <c r="C72" i="1" s="1"/>
  <c r="C73" i="1" s="1"/>
  <c r="C74" i="1" s="1"/>
  <c r="C76" i="1" s="1"/>
  <c r="C78" i="1" s="1"/>
  <c r="C79" i="1" s="1"/>
  <c r="C80" i="1" s="1"/>
  <c r="C81" i="1" s="1"/>
  <c r="C82" i="1" s="1"/>
  <c r="C83" i="1" s="1"/>
  <c r="C84" i="1" s="1"/>
  <c r="C85" i="1" s="1"/>
  <c r="C86" i="1" s="1"/>
  <c r="C87" i="1" s="1"/>
  <c r="C88" i="1" s="1"/>
  <c r="C89" i="1" s="1"/>
  <c r="C90" i="1" s="1"/>
  <c r="C92" i="1" s="1"/>
  <c r="C93" i="1" s="1"/>
  <c r="C94" i="1" s="1"/>
  <c r="C95" i="1" s="1"/>
  <c r="C96" i="1" s="1"/>
  <c r="C97" i="1" s="1"/>
  <c r="C98" i="1" s="1"/>
  <c r="C99" i="1" s="1"/>
  <c r="C100" i="1" s="1"/>
  <c r="C102" i="1" s="1"/>
  <c r="C103" i="1" s="1"/>
  <c r="C104" i="1" s="1"/>
  <c r="C105" i="1" s="1"/>
  <c r="C106" i="1" s="1"/>
  <c r="C107" i="1" s="1"/>
  <c r="C109" i="1" s="1"/>
  <c r="C110" i="1" s="1"/>
  <c r="C111" i="1" s="1"/>
  <c r="C112" i="1" s="1"/>
  <c r="C113" i="1" s="1"/>
  <c r="C114" i="1" s="1"/>
  <c r="C115" i="1" s="1"/>
  <c r="C116" i="1" s="1"/>
  <c r="C117" i="1" s="1"/>
  <c r="C118" i="1" s="1"/>
  <c r="C119" i="1" s="1"/>
  <c r="C120" i="1" s="1"/>
  <c r="C121" i="1" s="1"/>
  <c r="C122" i="1" s="1"/>
  <c r="C123" i="1" s="1"/>
  <c r="C124" i="1" s="1"/>
  <c r="C125" i="1" s="1"/>
  <c r="C126" i="1" s="1"/>
  <c r="C127" i="1" s="1"/>
  <c r="C128" i="1" s="1"/>
  <c r="C129" i="1" s="1"/>
  <c r="C130" i="1" s="1"/>
  <c r="C131" i="1" s="1"/>
  <c r="C132" i="1" s="1"/>
  <c r="C133" i="1" s="1"/>
  <c r="C134" i="1" s="1"/>
  <c r="C135" i="1" s="1"/>
  <c r="C136" i="1" s="1"/>
  <c r="C137" i="1" s="1"/>
  <c r="C138"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4" i="1" s="1"/>
  <c r="C195" i="1" s="1"/>
  <c r="C196" i="1" s="1"/>
  <c r="C197" i="1" s="1"/>
  <c r="C198" i="1" s="1"/>
  <c r="C199" i="1" s="1"/>
  <c r="C200" i="1" s="1"/>
  <c r="C201" i="1" s="1"/>
  <c r="C203" i="1" s="1"/>
  <c r="C204" i="1" s="1"/>
  <c r="C205" i="1" s="1"/>
  <c r="C207" i="1" s="1"/>
  <c r="C208" i="1" s="1"/>
  <c r="C209" i="1" s="1"/>
  <c r="C210" i="1" s="1"/>
  <c r="C211" i="1" s="1"/>
  <c r="C212" i="1" s="1"/>
  <c r="C213" i="1" s="1"/>
  <c r="C214" i="1" s="1"/>
  <c r="C215" i="1" s="1"/>
  <c r="C216" i="1" s="1"/>
  <c r="C217" i="1" s="1"/>
  <c r="C218" i="1" s="1"/>
  <c r="C220" i="1" s="1"/>
  <c r="C221" i="1" s="1"/>
  <c r="C222" i="1" s="1"/>
  <c r="C224" i="1" s="1"/>
  <c r="C225" i="1" s="1"/>
  <c r="C226" i="1" s="1"/>
  <c r="C227" i="1" s="1"/>
  <c r="C228" i="1" s="1"/>
  <c r="C229" i="1" s="1"/>
  <c r="C230" i="1" s="1"/>
  <c r="C231" i="1" s="1"/>
  <c r="C232" i="1" s="1"/>
  <c r="C233" i="1" s="1"/>
  <c r="C234" i="1" s="1"/>
  <c r="C235" i="1" s="1"/>
  <c r="C236" i="1" s="1"/>
  <c r="C237" i="1" s="1"/>
  <c r="C238" i="1" s="1"/>
  <c r="C239" i="1" s="1"/>
  <c r="C240" i="1" s="1"/>
  <c r="C241" i="1" s="1"/>
  <c r="C242" i="1" s="1"/>
  <c r="C243" i="1" s="1"/>
  <c r="C244" i="1" s="1"/>
  <c r="C245" i="1" s="1"/>
  <c r="C246" i="1" s="1"/>
  <c r="C247" i="1" s="1"/>
  <c r="C248" i="1" s="1"/>
  <c r="C249" i="1" s="1"/>
  <c r="C250" i="1" s="1"/>
  <c r="C251" i="1" s="1"/>
  <c r="C252" i="1" s="1"/>
  <c r="C253" i="1" s="1"/>
  <c r="C254" i="1" s="1"/>
  <c r="C255" i="1" s="1"/>
  <c r="C256" i="1" s="1"/>
  <c r="C257" i="1" s="1"/>
  <c r="C258" i="1" s="1"/>
  <c r="C259" i="1" s="1"/>
  <c r="C261" i="1" s="1"/>
  <c r="C262" i="1" s="1"/>
  <c r="C263" i="1" s="1"/>
  <c r="C264" i="1" s="1"/>
  <c r="C265" i="1" s="1"/>
  <c r="C266" i="1" s="1"/>
  <c r="C268" i="1" s="1"/>
  <c r="C269" i="1" s="1"/>
  <c r="C270" i="1" s="1"/>
  <c r="C271" i="1" s="1"/>
  <c r="C272" i="1" s="1"/>
  <c r="C273" i="1" s="1"/>
  <c r="C274" i="1" s="1"/>
  <c r="C275" i="1" s="1"/>
  <c r="C276" i="1" s="1"/>
  <c r="C277" i="1" s="1"/>
  <c r="C278" i="1" s="1"/>
  <c r="C279" i="1" s="1"/>
  <c r="C280" i="1" s="1"/>
  <c r="C281" i="1" s="1"/>
  <c r="C282" i="1" s="1"/>
  <c r="C283" i="1" s="1"/>
  <c r="C284" i="1" s="1"/>
  <c r="C285" i="1" s="1"/>
  <c r="C286" i="1" s="1"/>
  <c r="C287" i="1" s="1"/>
  <c r="C288" i="1" s="1"/>
  <c r="C289" i="1" s="1"/>
  <c r="C290" i="1" s="1"/>
  <c r="C291" i="1" s="1"/>
  <c r="C292" i="1" s="1"/>
  <c r="C293" i="1" s="1"/>
  <c r="C294" i="1" s="1"/>
  <c r="C295" i="1" s="1"/>
  <c r="C296" i="1" s="1"/>
  <c r="C297" i="1" s="1"/>
  <c r="C298" i="1" s="1"/>
  <c r="C299" i="1" s="1"/>
  <c r="C300" i="1" s="1"/>
  <c r="C301" i="1" s="1"/>
  <c r="C302" i="1" s="1"/>
  <c r="C303" i="1" s="1"/>
  <c r="C304" i="1" s="1"/>
  <c r="C305" i="1" s="1"/>
  <c r="C306" i="1" s="1"/>
  <c r="C307" i="1" s="1"/>
  <c r="C308" i="1" s="1"/>
  <c r="C309" i="1" s="1"/>
  <c r="C310" i="1" s="1"/>
  <c r="C311" i="1" s="1"/>
  <c r="C312" i="1" s="1"/>
  <c r="C313" i="1" s="1"/>
  <c r="C314" i="1" s="1"/>
  <c r="C315" i="1" s="1"/>
  <c r="C316" i="1" s="1"/>
  <c r="C317" i="1" s="1"/>
  <c r="C318" i="1" s="1"/>
  <c r="C319" i="1" s="1"/>
  <c r="C320" i="1" s="1"/>
  <c r="C321" i="1" s="1"/>
  <c r="C322" i="1" s="1"/>
  <c r="C323" i="1" s="1"/>
  <c r="C324" i="1" s="1"/>
  <c r="C325" i="1" s="1"/>
  <c r="C326" i="1" s="1"/>
  <c r="C327" i="1" s="1"/>
  <c r="C328" i="1" s="1"/>
  <c r="C329" i="1" s="1"/>
  <c r="C330" i="1" s="1"/>
  <c r="C331" i="1" s="1"/>
  <c r="C332" i="1" s="1"/>
  <c r="C333" i="1" s="1"/>
  <c r="C334" i="1" s="1"/>
  <c r="C335" i="1" s="1"/>
  <c r="C336" i="1" s="1"/>
  <c r="C337" i="1" s="1"/>
  <c r="C338" i="1" s="1"/>
  <c r="C339" i="1" s="1"/>
  <c r="C340" i="1" s="1"/>
  <c r="C341" i="1" s="1"/>
  <c r="C342" i="1" s="1"/>
  <c r="C343" i="1" s="1"/>
  <c r="C344" i="1" s="1"/>
  <c r="C345" i="1" s="1"/>
  <c r="C346" i="1" s="1"/>
  <c r="C347" i="1" s="1"/>
  <c r="C348" i="1" s="1"/>
  <c r="C349" i="1" s="1"/>
  <c r="C350" i="1" s="1"/>
  <c r="C351" i="1" s="1"/>
  <c r="C352" i="1" s="1"/>
  <c r="C353" i="1" s="1"/>
  <c r="C354" i="1" s="1"/>
  <c r="C355" i="1" s="1"/>
  <c r="C356" i="1" s="1"/>
  <c r="C357" i="1" s="1"/>
  <c r="C358" i="1" s="1"/>
  <c r="C359" i="1" s="1"/>
  <c r="C360" i="1" s="1"/>
  <c r="C361" i="1" s="1"/>
  <c r="C362" i="1" s="1"/>
  <c r="C363" i="1" s="1"/>
  <c r="C364" i="1" s="1"/>
  <c r="C365" i="1" s="1"/>
  <c r="C366" i="1" s="1"/>
  <c r="C367" i="1" s="1"/>
  <c r="C368" i="1" s="1"/>
  <c r="C369" i="1" s="1"/>
  <c r="C370" i="1" s="1"/>
  <c r="C371" i="1" s="1"/>
  <c r="C372" i="1" s="1"/>
  <c r="C373" i="1" s="1"/>
  <c r="C374" i="1" s="1"/>
  <c r="C375" i="1" s="1"/>
  <c r="C376" i="1" s="1"/>
  <c r="C377" i="1" s="1"/>
  <c r="C378" i="1" s="1"/>
  <c r="C379" i="1" s="1"/>
  <c r="C380" i="1" s="1"/>
  <c r="C381" i="1" s="1"/>
  <c r="C382" i="1" s="1"/>
  <c r="C383" i="1" s="1"/>
  <c r="C384" i="1" s="1"/>
  <c r="C385" i="1" s="1"/>
  <c r="C386" i="1" s="1"/>
  <c r="C388" i="1" s="1"/>
  <c r="C389" i="1" s="1"/>
  <c r="C390" i="1" s="1"/>
  <c r="C391" i="1" s="1"/>
  <c r="C392" i="1" s="1"/>
  <c r="C393" i="1" s="1"/>
  <c r="C394" i="1" s="1"/>
  <c r="C396" i="1" s="1"/>
  <c r="C397" i="1" s="1"/>
  <c r="C398" i="1" s="1"/>
  <c r="C399" i="1" s="1"/>
  <c r="C401" i="1" s="1"/>
  <c r="C402" i="1" s="1"/>
  <c r="C403" i="1" s="1"/>
</calcChain>
</file>

<file path=xl/sharedStrings.xml><?xml version="1.0" encoding="utf-8"?>
<sst xmlns="http://schemas.openxmlformats.org/spreadsheetml/2006/main" count="1761" uniqueCount="690">
  <si>
    <t>TH ĐÁNH GIÁ CB-NV_VP1</t>
  </si>
  <si>
    <t>BM 02-ĐGCB</t>
  </si>
  <si>
    <t>STT</t>
  </si>
  <si>
    <t>MSNV</t>
  </si>
  <si>
    <t xml:space="preserve">HỌ </t>
  </si>
  <si>
    <t>TÊN</t>
  </si>
  <si>
    <t>TG VÀO LV</t>
  </si>
  <si>
    <t>TG NHẬN CDN</t>
  </si>
  <si>
    <t>KQ ĐÁNH GIÁ</t>
  </si>
  <si>
    <t>Tự đánh giá</t>
  </si>
  <si>
    <t>QLTT đánh giá</t>
  </si>
  <si>
    <t>Ý kiến BGĐ khối</t>
  </si>
  <si>
    <t>Kết luận</t>
  </si>
  <si>
    <t>TỔNG</t>
  </si>
  <si>
    <t xml:space="preserve"> </t>
  </si>
  <si>
    <t>NGUYỄN ĐỨC</t>
  </si>
  <si>
    <t>THUẤN</t>
  </si>
  <si>
    <t>C.TỊCH</t>
  </si>
  <si>
    <t>CBQL</t>
  </si>
  <si>
    <t>VŨ VĂN</t>
  </si>
  <si>
    <t>HẢI</t>
  </si>
  <si>
    <t>P.TGĐ</t>
  </si>
  <si>
    <t>CAO THỊ THU</t>
  </si>
  <si>
    <t>HIỀN</t>
  </si>
  <si>
    <t>NV</t>
  </si>
  <si>
    <t>NVNV</t>
  </si>
  <si>
    <t xml:space="preserve">PHẠM VŨ HẢI </t>
  </si>
  <si>
    <t>THƯỢNG</t>
  </si>
  <si>
    <t>PGĐ</t>
  </si>
  <si>
    <t>PHẠM MẠNH</t>
  </si>
  <si>
    <t>HIỆP</t>
  </si>
  <si>
    <t>T.TEAM</t>
  </si>
  <si>
    <t>HUỲNH VỆ</t>
  </si>
  <si>
    <t>QUỐC</t>
  </si>
  <si>
    <t>CV</t>
  </si>
  <si>
    <t>QT MẠNG</t>
  </si>
  <si>
    <t>NGUYỄN DUY</t>
  </si>
  <si>
    <t>DUÂN</t>
  </si>
  <si>
    <t>ĐOÀN XUÂN</t>
  </si>
  <si>
    <t>NHỰT</t>
  </si>
  <si>
    <t>DƯƠNG</t>
  </si>
  <si>
    <t>ĐẶNG ĐÌNH</t>
  </si>
  <si>
    <t>DŨNG</t>
  </si>
  <si>
    <t>NGUYỄN HỒNG</t>
  </si>
  <si>
    <t>PHÚ</t>
  </si>
  <si>
    <t>NGUYỄN MẠNH</t>
  </si>
  <si>
    <t>CƯỜNG</t>
  </si>
  <si>
    <t xml:space="preserve">TRẦN NGỌC </t>
  </si>
  <si>
    <t>LUÂN</t>
  </si>
  <si>
    <t>TC &amp; T.KHOẢN</t>
  </si>
  <si>
    <t>LÊ THỊ HỒNG</t>
  </si>
  <si>
    <t>LAN</t>
  </si>
  <si>
    <t>GĐ</t>
  </si>
  <si>
    <t>PHẠM THỊ</t>
  </si>
  <si>
    <t>YẾN</t>
  </si>
  <si>
    <t>NGUYỄN THỊ THU</t>
  </si>
  <si>
    <t>GIANG</t>
  </si>
  <si>
    <t>NHUNG</t>
  </si>
  <si>
    <t>PHƯƠNG</t>
  </si>
  <si>
    <t>KHUẤT DUY</t>
  </si>
  <si>
    <t>KIÊN</t>
  </si>
  <si>
    <t>TP</t>
  </si>
  <si>
    <t xml:space="preserve">VÕ THỊ THUÝ </t>
  </si>
  <si>
    <t>DUY</t>
  </si>
  <si>
    <t>ĐỖ HOÀNG</t>
  </si>
  <si>
    <t>THIÊN</t>
  </si>
  <si>
    <t>LÊ THỊ</t>
  </si>
  <si>
    <t>HỒNG</t>
  </si>
  <si>
    <t>QT-KS-HT &amp; KTNB</t>
  </si>
  <si>
    <t>TRẦN THỊ</t>
  </si>
  <si>
    <t>THƯƠNG</t>
  </si>
  <si>
    <t>BÙI THỊ</t>
  </si>
  <si>
    <t>XUYẾN</t>
  </si>
  <si>
    <t xml:space="preserve">LÊ THỊ THÚY </t>
  </si>
  <si>
    <t>HẰNG</t>
  </si>
  <si>
    <t>PHẠM THỊ HỒNG</t>
  </si>
  <si>
    <t>TRẦN THỊ MINH</t>
  </si>
  <si>
    <t>ANH</t>
  </si>
  <si>
    <t>PHẠM NGỌC THẢO</t>
  </si>
  <si>
    <t>NGUYÊN</t>
  </si>
  <si>
    <t>PHAN THỊ</t>
  </si>
  <si>
    <t>HÒA</t>
  </si>
  <si>
    <t>ĐINH THỊ THÙY</t>
  </si>
  <si>
    <t>DUYÊN</t>
  </si>
  <si>
    <t>NGUYỄN THỊ</t>
  </si>
  <si>
    <t>BẾN</t>
  </si>
  <si>
    <t>HẠ VŨ THANH</t>
  </si>
  <si>
    <t>HÀ</t>
  </si>
  <si>
    <t xml:space="preserve">NGUYỄN THỊ </t>
  </si>
  <si>
    <t>THAO</t>
  </si>
  <si>
    <t>MAI THỊ THU</t>
  </si>
  <si>
    <t>BÙI THỊ THU</t>
  </si>
  <si>
    <t>TUYỀN</t>
  </si>
  <si>
    <t>LÊ THỊ MỸ</t>
  </si>
  <si>
    <t>PHONG</t>
  </si>
  <si>
    <t>SƯƠNG</t>
  </si>
  <si>
    <t>NGUYỄN THANH MỸ</t>
  </si>
  <si>
    <t>HUYỀN</t>
  </si>
  <si>
    <t>NGUYỄN THỊ THÙY</t>
  </si>
  <si>
    <t>LINH</t>
  </si>
  <si>
    <t>THẮM</t>
  </si>
  <si>
    <t>TRỊNH THỊ</t>
  </si>
  <si>
    <t>HIẾU</t>
  </si>
  <si>
    <t>NGUYỄN THỊ HUỲNH</t>
  </si>
  <si>
    <t>NHƯ</t>
  </si>
  <si>
    <t>CAO THỊ HOÀI</t>
  </si>
  <si>
    <t>THANH</t>
  </si>
  <si>
    <t>NGUYỄN THỊ HOÀI</t>
  </si>
  <si>
    <t>NGỌC</t>
  </si>
  <si>
    <t xml:space="preserve">VŨ THỊ </t>
  </si>
  <si>
    <t>TRANG</t>
  </si>
  <si>
    <t>PHAN KHÁNH</t>
  </si>
  <si>
    <t>TRƯƠNG HUYỀN</t>
  </si>
  <si>
    <t>MAI</t>
  </si>
  <si>
    <t>NGUYỄN THỊ VÂN</t>
  </si>
  <si>
    <t>TRÚC</t>
  </si>
  <si>
    <t>NGUYỄN NHƯ</t>
  </si>
  <si>
    <t>TÁ</t>
  </si>
  <si>
    <t>NGÔ NGỌC</t>
  </si>
  <si>
    <t>GIỚI</t>
  </si>
  <si>
    <t>ĐOÀN MINH</t>
  </si>
  <si>
    <t>THẮNG</t>
  </si>
  <si>
    <t>KIỂM SOÁT NỘI BỘ</t>
  </si>
  <si>
    <t>VÕ THÁI</t>
  </si>
  <si>
    <t>VÂN</t>
  </si>
  <si>
    <t>LƯƠNG HÀN</t>
  </si>
  <si>
    <t>NGÔ THỊ DIỄM</t>
  </si>
  <si>
    <t>KIỀU</t>
  </si>
  <si>
    <t>PHẠM THU</t>
  </si>
  <si>
    <t>HỒ TRƯƠNG NHƯ</t>
  </si>
  <si>
    <t>QUỲNH</t>
  </si>
  <si>
    <t xml:space="preserve">NGUYỄN THANH </t>
  </si>
  <si>
    <t>SƠN</t>
  </si>
  <si>
    <t>COSTING</t>
  </si>
  <si>
    <t>NGÔ THỊ LAN</t>
  </si>
  <si>
    <t>VÕ NGỌC HOÀNG</t>
  </si>
  <si>
    <t>NGUYỄN THỊ MỘNG</t>
  </si>
  <si>
    <t>PHẠM THỊ THANH</t>
  </si>
  <si>
    <t>MY</t>
  </si>
  <si>
    <t>NGUYỄN THỊ BĂNG</t>
  </si>
  <si>
    <t>TRÂM</t>
  </si>
  <si>
    <t>NGUYỄN NHẬT</t>
  </si>
  <si>
    <t>HỘI</t>
  </si>
  <si>
    <t>NGÔ HẠNH</t>
  </si>
  <si>
    <t>DOANH</t>
  </si>
  <si>
    <t>NGUYỄN THỊ HƯƠNG</t>
  </si>
  <si>
    <t>NGUYỄN NGỌC MỸ</t>
  </si>
  <si>
    <t>NGUYỄN THỊ BÍCH</t>
  </si>
  <si>
    <t>THIỀM</t>
  </si>
  <si>
    <t>PHẠM NGUYỄN DIỄM</t>
  </si>
  <si>
    <t>TRẦN NGỌC</t>
  </si>
  <si>
    <t>THẢO</t>
  </si>
  <si>
    <t>VÕ THỊ KIM</t>
  </si>
  <si>
    <t>PHẠM HOÀNG MỸ</t>
  </si>
  <si>
    <t>LÊ HUỲNH NGỌC</t>
  </si>
  <si>
    <t>HÂN</t>
  </si>
  <si>
    <t>CHI</t>
  </si>
  <si>
    <t>HOÀNG THỊ NGỌC</t>
  </si>
  <si>
    <t>BÙI THỊ QUÁCH</t>
  </si>
  <si>
    <t>NHA</t>
  </si>
  <si>
    <t>THÁI PHẠM NGỌC</t>
  </si>
  <si>
    <t>NGUYỄN THỊ NGỌC</t>
  </si>
  <si>
    <t>PHẠM TUYẾT</t>
  </si>
  <si>
    <t>TRINH</t>
  </si>
  <si>
    <t>PHẠM THỊ THU</t>
  </si>
  <si>
    <t>THƠ</t>
  </si>
  <si>
    <t>TRƯƠNG THỊ KIM</t>
  </si>
  <si>
    <t>PHAN HỒ PHƯƠNG</t>
  </si>
  <si>
    <t>BÙI HỒ HƯƠNG</t>
  </si>
  <si>
    <t>LY</t>
  </si>
  <si>
    <t>NHI</t>
  </si>
  <si>
    <t>VŨ THỊ</t>
  </si>
  <si>
    <t>HƯƠNG</t>
  </si>
  <si>
    <t>NGÔ VĂN</t>
  </si>
  <si>
    <t>TRÍ</t>
  </si>
  <si>
    <t>LÊ THỊ HẠNH</t>
  </si>
  <si>
    <t>THU</t>
  </si>
  <si>
    <t>NGUYỄN THỊ MỸ</t>
  </si>
  <si>
    <t>HẠNH</t>
  </si>
  <si>
    <t>TUYẾN</t>
  </si>
  <si>
    <t>NGUYỄN THÁI</t>
  </si>
  <si>
    <t>HÙNG</t>
  </si>
  <si>
    <t>PHAN QUANG</t>
  </si>
  <si>
    <t>TÂM</t>
  </si>
  <si>
    <t>HỒ XUÂN</t>
  </si>
  <si>
    <t>TRƯỜNG</t>
  </si>
  <si>
    <t>NGUYỄN SĨ QUỐC</t>
  </si>
  <si>
    <t>BẢO</t>
  </si>
  <si>
    <t>BÙI QUANG</t>
  </si>
  <si>
    <t>THỰC</t>
  </si>
  <si>
    <t>ĐOÀN THỊ</t>
  </si>
  <si>
    <t>CÚC</t>
  </si>
  <si>
    <t>NGÔ THANH</t>
  </si>
  <si>
    <t>HOÀNG</t>
  </si>
  <si>
    <t xml:space="preserve">NGUYỄN MINH </t>
  </si>
  <si>
    <t>ĐOÀN THÁI</t>
  </si>
  <si>
    <t>BÌNH</t>
  </si>
  <si>
    <t>ĐẶNG MINH</t>
  </si>
  <si>
    <t>QUÂN</t>
  </si>
  <si>
    <t>DUA</t>
  </si>
  <si>
    <t>TRƯƠNG ĐỨC</t>
  </si>
  <si>
    <t>THỦ KHO MMTB</t>
  </si>
  <si>
    <t>DƯƠNG THỊ KIỀU</t>
  </si>
  <si>
    <t>HUỲNH TUẤN</t>
  </si>
  <si>
    <t>ĐẶNG THỊ</t>
  </si>
  <si>
    <t>HUỲNH THỊ TUYẾT</t>
  </si>
  <si>
    <t>MÃ HÓA</t>
  </si>
  <si>
    <t>HOÀNG THỊ</t>
  </si>
  <si>
    <t>CAO NGUYỄN HOÀNG</t>
  </si>
  <si>
    <t>CAO THỊ THÙY</t>
  </si>
  <si>
    <t>NGUYỄN THỊ THIÊN</t>
  </si>
  <si>
    <t>DƯƠNG THỊ</t>
  </si>
  <si>
    <t>OANH</t>
  </si>
  <si>
    <t>TRƯƠNG THỊ</t>
  </si>
  <si>
    <t>NA</t>
  </si>
  <si>
    <t>HOÀI</t>
  </si>
  <si>
    <t>LÊ THÙY</t>
  </si>
  <si>
    <t>VÕ THỊ THU</t>
  </si>
  <si>
    <t>LIÊN</t>
  </si>
  <si>
    <t>ĐỖ THỊ</t>
  </si>
  <si>
    <t>SUỐT</t>
  </si>
  <si>
    <t>BÙI VĂN</t>
  </si>
  <si>
    <t>TIỀN</t>
  </si>
  <si>
    <t>TỐI ƯU ĐM CHẶT</t>
  </si>
  <si>
    <t>TRẦN THANH</t>
  </si>
  <si>
    <t>LOAN</t>
  </si>
  <si>
    <t>TRƯƠNG VĂN</t>
  </si>
  <si>
    <t>ĐOÀN THẾ</t>
  </si>
  <si>
    <t>VŨ MẠNH</t>
  </si>
  <si>
    <t>CHU THẾ</t>
  </si>
  <si>
    <t>QUYỀN</t>
  </si>
  <si>
    <t>TRẦN THỊ KIM</t>
  </si>
  <si>
    <t>CAO THỊ</t>
  </si>
  <si>
    <t>LÊ MINH</t>
  </si>
  <si>
    <t>CHUNG</t>
  </si>
  <si>
    <t>LÊ THỊ NGỌC</t>
  </si>
  <si>
    <t>NGÔ THỊ</t>
  </si>
  <si>
    <t>BÉ</t>
  </si>
  <si>
    <t>HÀ THỊ</t>
  </si>
  <si>
    <t>CẦM</t>
  </si>
  <si>
    <t>ĐOÀN CHÂU TUYẾT</t>
  </si>
  <si>
    <t>DƯƠNG THỊ THUỲ</t>
  </si>
  <si>
    <t>NGUYỄN THỊ BẠCH</t>
  </si>
  <si>
    <t>LÊ</t>
  </si>
  <si>
    <t>NGUYỄN THỊ CẨM</t>
  </si>
  <si>
    <t>TÚ</t>
  </si>
  <si>
    <t>ĐINH THỊ THU</t>
  </si>
  <si>
    <t>DIỄM</t>
  </si>
  <si>
    <t>BÙI THỊ BÍCH</t>
  </si>
  <si>
    <t>TRẦN THỊ ÁNH</t>
  </si>
  <si>
    <t>ĐÀO</t>
  </si>
  <si>
    <t>HUỲNH THỊ THẢO</t>
  </si>
  <si>
    <t>DANH THỊ KIỀU</t>
  </si>
  <si>
    <t>DANH CHÍ</t>
  </si>
  <si>
    <t>LONG</t>
  </si>
  <si>
    <t>TRƯƠNG THỊ CẨM</t>
  </si>
  <si>
    <t>ĐỖ THỊ THU</t>
  </si>
  <si>
    <t>BA</t>
  </si>
  <si>
    <t>CAO THỊ THIÊN</t>
  </si>
  <si>
    <t>NI</t>
  </si>
  <si>
    <t>HUỲNH THỊ BÉ</t>
  </si>
  <si>
    <t>NGOAN</t>
  </si>
  <si>
    <t>DƯƠNG THỊ CẨM</t>
  </si>
  <si>
    <t>DƯƠNG GIA</t>
  </si>
  <si>
    <t>NGUYỄN THỊ THÚY</t>
  </si>
  <si>
    <t>NGUYỄN KHÁNH</t>
  </si>
  <si>
    <t>CHINH</t>
  </si>
  <si>
    <t>TĂNG THỊ THU</t>
  </si>
  <si>
    <t>THỦY</t>
  </si>
  <si>
    <t>BẢY</t>
  </si>
  <si>
    <t>LÊ THỊ THANH</t>
  </si>
  <si>
    <t>NGUYỄN QUỲNH</t>
  </si>
  <si>
    <t>TRẦN THỊ THANH</t>
  </si>
  <si>
    <t>LÊ THỊ KIM</t>
  </si>
  <si>
    <t>THÁI THỊ KIỀU</t>
  </si>
  <si>
    <t>BÙI THỊ NGỌC</t>
  </si>
  <si>
    <t>BÍCH</t>
  </si>
  <si>
    <t>NGUYỄN QUANG</t>
  </si>
  <si>
    <t>ĐÀN</t>
  </si>
  <si>
    <t>UÔNG THỊ THANH</t>
  </si>
  <si>
    <t>THÊM</t>
  </si>
  <si>
    <t>NGUYỄN HOÀNG</t>
  </si>
  <si>
    <t>TRẦN THỊ MỸ</t>
  </si>
  <si>
    <t>NGUYỄN THANH HUYỀN TIỂU</t>
  </si>
  <si>
    <t>NGUYỄN THỊ THANH</t>
  </si>
  <si>
    <t>NGUYỄN THỊ KIM</t>
  </si>
  <si>
    <t>HÀ THỊ KIM</t>
  </si>
  <si>
    <t>TRƯƠNG HUỲNH YẾN</t>
  </si>
  <si>
    <t>PHẠM THỊ KIM</t>
  </si>
  <si>
    <t>DIÊN</t>
  </si>
  <si>
    <t>NGUYỄN THÙY</t>
  </si>
  <si>
    <t>DUNG</t>
  </si>
  <si>
    <t>LÊ VĂN</t>
  </si>
  <si>
    <t>TRẦN THỊ HƯƠNG</t>
  </si>
  <si>
    <t>LÊ THỊ HẢI</t>
  </si>
  <si>
    <t>NGA</t>
  </si>
  <si>
    <t>VÕ THIỆN</t>
  </si>
  <si>
    <t>NHÂN</t>
  </si>
  <si>
    <t>KIM BÌNH</t>
  </si>
  <si>
    <t>DƯ</t>
  </si>
  <si>
    <t>PHAN THANH</t>
  </si>
  <si>
    <t>PHƯỢNG</t>
  </si>
  <si>
    <t>NHÀN</t>
  </si>
  <si>
    <t>NGUYỄN TRUNG</t>
  </si>
  <si>
    <t>XUÂN</t>
  </si>
  <si>
    <t>MUA C&amp;C</t>
  </si>
  <si>
    <t>ĐẶNG THỊ PHƯƠNG</t>
  </si>
  <si>
    <t>LAM</t>
  </si>
  <si>
    <t>TÙNG</t>
  </si>
  <si>
    <t xml:space="preserve">TRẦN ĐÌNH </t>
  </si>
  <si>
    <t>CAO HIẾU</t>
  </si>
  <si>
    <t>NGHĨA</t>
  </si>
  <si>
    <t>HOÀNG VĂN</t>
  </si>
  <si>
    <t>TUYÊN</t>
  </si>
  <si>
    <t>NGUYỄN THÀNH</t>
  </si>
  <si>
    <t>CÔNG</t>
  </si>
  <si>
    <t>LÊ HẠNH</t>
  </si>
  <si>
    <t>TRẦN LÊ NHƯ</t>
  </si>
  <si>
    <t>TRẦN VĂN</t>
  </si>
  <si>
    <t>TRIỀU</t>
  </si>
  <si>
    <t>MAI THỊ</t>
  </si>
  <si>
    <t>NGÔ THỊ THỦY</t>
  </si>
  <si>
    <t>TIÊN</t>
  </si>
  <si>
    <t>NGUYỄN QUÝ</t>
  </si>
  <si>
    <t>NGUYỄN ĐÌNH</t>
  </si>
  <si>
    <t>CHIỂU</t>
  </si>
  <si>
    <t>KHANG</t>
  </si>
  <si>
    <t>NGUYỄN NGỌC</t>
  </si>
  <si>
    <t>VINH</t>
  </si>
  <si>
    <t>PHAN THÀNH</t>
  </si>
  <si>
    <t>TÂN</t>
  </si>
  <si>
    <t xml:space="preserve">BÙI THỐNG </t>
  </si>
  <si>
    <t>LĨNH</t>
  </si>
  <si>
    <t>LỊCH</t>
  </si>
  <si>
    <t>KHOA</t>
  </si>
  <si>
    <t>ĐÀO DUY</t>
  </si>
  <si>
    <t>PHẠM TRUNG</t>
  </si>
  <si>
    <t>TRƯƠNG TẤN</t>
  </si>
  <si>
    <t>TRUNG</t>
  </si>
  <si>
    <t>TRẦN HOÀNG</t>
  </si>
  <si>
    <t>THIỆN</t>
  </si>
  <si>
    <t>ĐÔNG</t>
  </si>
  <si>
    <t>NGUYỄN THỊ HỒNG</t>
  </si>
  <si>
    <t>PHAN MINH</t>
  </si>
  <si>
    <t>LUẬN</t>
  </si>
  <si>
    <t>ĐÀO NGUYÊN</t>
  </si>
  <si>
    <t xml:space="preserve">PHẠM THỊ </t>
  </si>
  <si>
    <t>TUYẾT</t>
  </si>
  <si>
    <t>NGUYỄN VĂN</t>
  </si>
  <si>
    <t>IE</t>
  </si>
  <si>
    <t xml:space="preserve">TRẦN VĂN </t>
  </si>
  <si>
    <t>TRÃI</t>
  </si>
  <si>
    <t>VÕ MINH</t>
  </si>
  <si>
    <t>CHIẾN</t>
  </si>
  <si>
    <t>NGUYỄN THỊ</t>
  </si>
  <si>
    <t>NGUYỆN</t>
  </si>
  <si>
    <t>LÊ THUÝ</t>
  </si>
  <si>
    <t>HỒ THỊ</t>
  </si>
  <si>
    <t>THẢO</t>
  </si>
  <si>
    <t>ĐÀO</t>
  </si>
  <si>
    <t>HUỲNH TẤN</t>
  </si>
  <si>
    <t>DANH</t>
  </si>
  <si>
    <t>NGUYỄN THANH</t>
  </si>
  <si>
    <t>CAO</t>
  </si>
  <si>
    <t>NGUYỄN HỮU</t>
  </si>
  <si>
    <t>LÀNH</t>
  </si>
  <si>
    <t>PHÙNG VĂN</t>
  </si>
  <si>
    <t>HANH</t>
  </si>
  <si>
    <t xml:space="preserve">LÊ THẢO </t>
  </si>
  <si>
    <t>TRANG VŨ</t>
  </si>
  <si>
    <t>TRANG HỮU</t>
  </si>
  <si>
    <t>CHUNG THỊ HUỆ</t>
  </si>
  <si>
    <t>LÊ THỊ MINH</t>
  </si>
  <si>
    <t>THÙY</t>
  </si>
  <si>
    <t>VÕ THỊ BÉ</t>
  </si>
  <si>
    <t>HAI</t>
  </si>
  <si>
    <t>ĐỊNH</t>
  </si>
  <si>
    <t>THẠCH NGỌC</t>
  </si>
  <si>
    <t>TRĂNG</t>
  </si>
  <si>
    <t>TRẦN PHI</t>
  </si>
  <si>
    <t>VŨ XUÂN</t>
  </si>
  <si>
    <t>ĐIỂM</t>
  </si>
  <si>
    <t>CHU THỊ THU</t>
  </si>
  <si>
    <t>HOÀNG THỊ MỸ</t>
  </si>
  <si>
    <t>CAO THỊ THANH</t>
  </si>
  <si>
    <t>NGUYỄN THỊ MINH</t>
  </si>
  <si>
    <t>HOÀNG PHI</t>
  </si>
  <si>
    <t>TRẦN THỊ HẢI</t>
  </si>
  <si>
    <t>THOA</t>
  </si>
  <si>
    <t>VŨ THÙY</t>
  </si>
  <si>
    <t>HÀ XUÂN</t>
  </si>
  <si>
    <t>TUẤN</t>
  </si>
  <si>
    <t>NGUYỄN TẤN</t>
  </si>
  <si>
    <t>TÀI</t>
  </si>
  <si>
    <t>VĨNH</t>
  </si>
  <si>
    <t>LÊ THỊ HUỲNH</t>
  </si>
  <si>
    <t>HẢO</t>
  </si>
  <si>
    <t>LỮ XUÂN</t>
  </si>
  <si>
    <t>LẮM</t>
  </si>
  <si>
    <t>BÙI NGỌC</t>
  </si>
  <si>
    <t>ĐÀO THỊ</t>
  </si>
  <si>
    <t>HOÀNG CÔNG</t>
  </si>
  <si>
    <t>QUÝ</t>
  </si>
  <si>
    <t>TRANG THỊ</t>
  </si>
  <si>
    <t>HUỲNH THỊ</t>
  </si>
  <si>
    <t>SANG</t>
  </si>
  <si>
    <t xml:space="preserve">NGUYỄN HỮU </t>
  </si>
  <si>
    <t>MINH</t>
  </si>
  <si>
    <t>HOA</t>
  </si>
  <si>
    <t>TRẦN THỊ THU</t>
  </si>
  <si>
    <t>KH-ĐH VP</t>
  </si>
  <si>
    <t>NGUYỄN ANH</t>
  </si>
  <si>
    <t>BÙI TRÍ</t>
  </si>
  <si>
    <t>THỨC</t>
  </si>
  <si>
    <t xml:space="preserve">MAI THỊ </t>
  </si>
  <si>
    <t xml:space="preserve">VÕ THỊ THANH </t>
  </si>
  <si>
    <t>NGUYỄN THỊ TUYẾT</t>
  </si>
  <si>
    <t>VĂN THƯ - LƯU TRỮ</t>
  </si>
  <si>
    <t>TRẦN THỊ BÍCH</t>
  </si>
  <si>
    <t>NGUYỆT</t>
  </si>
  <si>
    <t>TRẦN THỊ NGỌC</t>
  </si>
  <si>
    <t>ME</t>
  </si>
  <si>
    <t>PHẠM VĂN</t>
  </si>
  <si>
    <t>KHOAN</t>
  </si>
  <si>
    <t>TT</t>
  </si>
  <si>
    <t xml:space="preserve">NGUYỄN VĂN </t>
  </si>
  <si>
    <t>TRÀ</t>
  </si>
  <si>
    <t>THÀNH</t>
  </si>
  <si>
    <t>LÁI XE</t>
  </si>
  <si>
    <t xml:space="preserve">NGUYỄN VĂN </t>
  </si>
  <si>
    <t>HỌC</t>
  </si>
  <si>
    <t>TRIỆU DUY</t>
  </si>
  <si>
    <t>CHÂU</t>
  </si>
  <si>
    <t>NGUYỄN TRÍ</t>
  </si>
  <si>
    <t>ĐẬU DUY</t>
  </si>
  <si>
    <t>LÊ NGUYỄN VIỆT</t>
  </si>
  <si>
    <t>LÊ TRỌNG</t>
  </si>
  <si>
    <t>ĐẠI</t>
  </si>
  <si>
    <t>HOÀNG THÁI</t>
  </si>
  <si>
    <t>THOẠI</t>
  </si>
  <si>
    <t>NGUYỄN CÔNG</t>
  </si>
  <si>
    <t>CHANH</t>
  </si>
  <si>
    <t>ĐINH VIẾT</t>
  </si>
  <si>
    <t>LIN</t>
  </si>
  <si>
    <t>TUYỂN</t>
  </si>
  <si>
    <t>ĐẬU CÔNG</t>
  </si>
  <si>
    <t>PHẠM HÙNG</t>
  </si>
  <si>
    <t>BÙI BẢO</t>
  </si>
  <si>
    <t>AUDIT-MT</t>
  </si>
  <si>
    <t xml:space="preserve">NGUYỄN THÀNH </t>
  </si>
  <si>
    <t>PHIẾN</t>
  </si>
  <si>
    <t>MÔI TRƯỜNG</t>
  </si>
  <si>
    <t>NGUYỄN MINH</t>
  </si>
  <si>
    <t>ĐỨC</t>
  </si>
  <si>
    <t>CƠ KHÍ</t>
  </si>
  <si>
    <t>ĐỖ VĂN</t>
  </si>
  <si>
    <t>QĐ</t>
  </si>
  <si>
    <t>NGUYỄN BÁ</t>
  </si>
  <si>
    <t>LƯU</t>
  </si>
  <si>
    <t>TÍN</t>
  </si>
  <si>
    <t>TK TH</t>
  </si>
  <si>
    <t>Ngày 17 Tháng 12 Năm 2023</t>
  </si>
  <si>
    <t>BGĐ CTY</t>
  </si>
  <si>
    <t>BGĐ ĐƠN VỊ</t>
  </si>
  <si>
    <t>TỔNG HỢP</t>
  </si>
  <si>
    <t>ĐÁNH GIÁ NHÂN SỰ</t>
  </si>
  <si>
    <t>Họ &amp; tên</t>
  </si>
  <si>
    <t>Vị trí công việc</t>
  </si>
  <si>
    <t>Quản lý trực tiếp</t>
  </si>
  <si>
    <t>Thời kỳ ĐG</t>
  </si>
  <si>
    <t>Đơn vị/phòng ban</t>
  </si>
  <si>
    <t>(Hãy đánh dấu "X" thích hợp vào ô "KQ" dưới đây - Mỗi phần chỉ được đánh dấu 1 ô)</t>
  </si>
  <si>
    <t>ND
ĐG</t>
  </si>
  <si>
    <t>Tiêu chí đánh giá</t>
  </si>
  <si>
    <t>Điểm</t>
  </si>
  <si>
    <t>QLTT ĐG</t>
  </si>
  <si>
    <t>Ghi
chú</t>
  </si>
  <si>
    <t>KQ</t>
  </si>
  <si>
    <t>A -</t>
  </si>
  <si>
    <t>KẾT QUẢ CÔNG VIỆC</t>
  </si>
  <si>
    <t>I -</t>
  </si>
  <si>
    <t>Khối lượng (tối đa 15 điểm)</t>
  </si>
  <si>
    <t>Hoàn thành khối lượng công việc lớn, vượt yêu cầu đưa ra</t>
  </si>
  <si>
    <t>Hoàn thành tốt công việc chính và cả các nhiệm vụ được giao thêm</t>
  </si>
  <si>
    <t>Hoàn thành đầy đủ các công việc chính được giao</t>
  </si>
  <si>
    <t>Hoàn thành khối lượng công việc dưới mức yêu cầu</t>
  </si>
  <si>
    <t>II -</t>
  </si>
  <si>
    <t>Chất lượng (tối đa 20 điểm)</t>
  </si>
  <si>
    <t>Luôn tạo ra kết quả công việc với chất lượng cao, không có lỗi, không phải làm lại</t>
  </si>
  <si>
    <t>Hoàn thành công việc với chất lượng cao, tuy nhiên có một số ít lỗi nhỏ</t>
  </si>
  <si>
    <t>Hoàn thành công việc ở mức chất lượng có thể chấp nhận được</t>
  </si>
  <si>
    <t>Công việc thường xuyên kém chất lượng, thường xuyên phải sửa lỗi</t>
  </si>
  <si>
    <t>III -</t>
  </si>
  <si>
    <t>Tiến độ (tối đa 15 điểm)</t>
  </si>
  <si>
    <t>Luôn hoàn thành công việc đúng và trước thời hạn hoặc tiến độ</t>
  </si>
  <si>
    <t>Thường hoàn thành đúng thời hạn với rất ít sự nhắc nhở</t>
  </si>
  <si>
    <t>Hoàn thành phần lớn công việc đúng hạn, đôi khi vẫn cần sự nhắc nhở</t>
  </si>
  <si>
    <t>Luôn không hoàn thành công việc đúng tiến độ mặc dù đã được nhắc nhở</t>
  </si>
  <si>
    <t>B -</t>
  </si>
  <si>
    <t>NĂNG LỰC LÀM VIỆC</t>
  </si>
  <si>
    <t>Khả năng chuyên môn ( tối đa 15 điểm)</t>
  </si>
  <si>
    <t>Nắm vững các kiến thức chuyên môn liên quan đến công việc, có khả năng phân tích vấn đề, đề xuất các kiến nghị để cải tiến công việc</t>
  </si>
  <si>
    <t>Có đủ lượng kiến thức cần thiết để thực hiện tốt công việc</t>
  </si>
  <si>
    <t>Có kiến thức cơ bản, cần sự chỉ dẫn trong những vấn đề chuyên sâu</t>
  </si>
  <si>
    <t>Không có hiểu biết về chuyên môn, thiếu kiến thức cơ bản</t>
  </si>
  <si>
    <t>Khả năng học hỏi (tối đa 10 điểm)</t>
  </si>
  <si>
    <t>Có khả năng học hỏi nhanh trong việc nắm bắt các vấn đề liên quan đến công việc</t>
  </si>
  <si>
    <t>Chịu khó học hỏi, có tiến bộ trong công việc</t>
  </si>
  <si>
    <t>Chịu khó học hỏi tuy nhiên chưa có tiến bộ nhiều trong công việc</t>
  </si>
  <si>
    <t>Không chú ý học hỏi, cải tiến trong công việc</t>
  </si>
  <si>
    <t>C -</t>
  </si>
  <si>
    <t>Ý THỨC CÔNG VIỆC &amp; KỶ LUẬT</t>
  </si>
  <si>
    <t>Tiềm năng phát triển (tối đa 10 điểm)</t>
  </si>
  <si>
    <t>Luôn có sáng tạo trong lúc làm việc, có đề xuất các giải pháp thích hợp, hiệu quả để hoàn thành nhiệm vụ của bộ phận, hoặc của cấp trên và của các thành viên khác. Có ý thức tự bổ sung nâng cao kiến thức, kỹ năng công việc.</t>
  </si>
  <si>
    <t>Thỉnh thoảng có đề xuất giải pháp thích hợp, biết tổ chức công việc của mình, làm việc độc lập</t>
  </si>
  <si>
    <t>Thực hiện công việc một cách thụ động, phụ thuộc nhiều vào người khác, không quan tâm đến việc cải tiến công việc tốt hơn</t>
  </si>
  <si>
    <t>Tinh thần đồng đội (tối đa 10 điểm)</t>
  </si>
  <si>
    <t>Sẵn sàng giúp đỡ đồng nghiệp trong và ngoài bộ phận, chia sẽ thông tin, kinh nghiệm liên quan đến công việc cho đồng đội</t>
  </si>
  <si>
    <t>Biết lo cho chính mình, ít chia sẻ thông tin, kinh nghiệm; chỉ phối hợp khi có áp lực từ cấp trên</t>
  </si>
  <si>
    <t>Thường xuyên không hợp tác, gây xung đột, không chia sẻ thông tin hoặc cố tình cung cấp sai thông tin gây khó khăn cho công việc của người khác.</t>
  </si>
  <si>
    <t>III-</t>
  </si>
  <si>
    <t>Tính kỷ luật (tối đa 5 điểm)</t>
  </si>
  <si>
    <t>Chấp hành nghiêm túc quy định về giờ giấc làm việc, an toàn lao động, quy định về mặc đồng phục khi đi làm</t>
  </si>
  <si>
    <t>Chấp hành nghiêm túc nội quy lao động, tuy nhiên thỉnh thoảng có sai sót, đã cải thiện và có sự tiến bộ.</t>
  </si>
  <si>
    <t>Vi phạm nhỏ (không cố ý) bị nhắc nhở không bằng văn bản dưới 3 lần trong năm.</t>
  </si>
  <si>
    <t>Bị cảnh cáo, cách chức hoặc hạ  loại B, C bằng văn bản, hoặc bị nhắc nhở nhiều lần trong việc thực hiện nội quy</t>
  </si>
  <si>
    <t>D-</t>
  </si>
  <si>
    <t>KẾT QUẢ ĐÁNH GIÁ</t>
  </si>
  <si>
    <t>Stt</t>
  </si>
  <si>
    <t xml:space="preserve">Nội dung đánh giá </t>
  </si>
  <si>
    <t>%</t>
  </si>
  <si>
    <t>KQ xếp loại đánh giá</t>
  </si>
  <si>
    <t>Xếp loại</t>
  </si>
  <si>
    <t>Tự
đánh giá</t>
  </si>
  <si>
    <t>A</t>
  </si>
  <si>
    <t>−</t>
  </si>
  <si>
    <t>Kết quả công việc</t>
  </si>
  <si>
    <t>B</t>
  </si>
  <si>
    <t>Năng lực</t>
  </si>
  <si>
    <t>QLTT
đánh giá</t>
  </si>
  <si>
    <t>C</t>
  </si>
  <si>
    <t>Ý thức - kỷ luật</t>
  </si>
  <si>
    <t>E-</t>
  </si>
  <si>
    <t>NHẬN XÉT - Ý KIẾN KHÁC (sau khi đánh giá)</t>
  </si>
  <si>
    <t>Người được đánh giá</t>
  </si>
  <si>
    <t>BGĐ KHỐI</t>
  </si>
  <si>
    <t>Ký tên:</t>
  </si>
  <si>
    <t xml:space="preserve">Ngày: </t>
  </si>
  <si>
    <t>Phụ ghi:</t>
  </si>
  <si>
    <t>- Xếp lọai:</t>
  </si>
  <si>
    <t>+ Giỏi</t>
  </si>
  <si>
    <r>
      <t xml:space="preserve">: Từ </t>
    </r>
    <r>
      <rPr>
        <b/>
        <sz val="10"/>
        <color indexed="10"/>
        <rFont val="Times New Roman"/>
        <family val="1"/>
      </rPr>
      <t>95</t>
    </r>
    <r>
      <rPr>
        <sz val="10"/>
        <color indexed="59"/>
        <rFont val="Times New Roman"/>
        <family val="1"/>
      </rPr>
      <t xml:space="preserve"> đến </t>
    </r>
    <r>
      <rPr>
        <b/>
        <sz val="10"/>
        <color indexed="10"/>
        <rFont val="Times New Roman"/>
        <family val="1"/>
      </rPr>
      <t>100</t>
    </r>
    <r>
      <rPr>
        <sz val="10"/>
        <color indexed="58"/>
        <rFont val="Times New Roman"/>
        <family val="1"/>
      </rPr>
      <t xml:space="preserve"> điểm</t>
    </r>
  </si>
  <si>
    <t>+Trung Bình</t>
  </si>
  <si>
    <r>
      <t xml:space="preserve">: Từ </t>
    </r>
    <r>
      <rPr>
        <b/>
        <sz val="10"/>
        <color indexed="10"/>
        <rFont val="Times New Roman"/>
        <family val="1"/>
      </rPr>
      <t>50</t>
    </r>
    <r>
      <rPr>
        <sz val="10"/>
        <color indexed="59"/>
        <rFont val="Times New Roman"/>
        <family val="1"/>
      </rPr>
      <t xml:space="preserve"> đến </t>
    </r>
    <r>
      <rPr>
        <b/>
        <sz val="10"/>
        <color indexed="10"/>
        <rFont val="Times New Roman"/>
        <family val="1"/>
      </rPr>
      <t>69</t>
    </r>
    <r>
      <rPr>
        <sz val="10"/>
        <color indexed="10"/>
        <rFont val="Times New Roman"/>
        <family val="1"/>
      </rPr>
      <t xml:space="preserve"> </t>
    </r>
    <r>
      <rPr>
        <sz val="10"/>
        <color indexed="59"/>
        <rFont val="Times New Roman"/>
        <family val="1"/>
      </rPr>
      <t>điểm</t>
    </r>
  </si>
  <si>
    <t>+ Khá</t>
  </si>
  <si>
    <r>
      <t xml:space="preserve">: Từ </t>
    </r>
    <r>
      <rPr>
        <b/>
        <sz val="10"/>
        <color indexed="10"/>
        <rFont val="Times New Roman"/>
        <family val="1"/>
      </rPr>
      <t>70</t>
    </r>
    <r>
      <rPr>
        <sz val="10"/>
        <color indexed="59"/>
        <rFont val="Times New Roman"/>
        <family val="1"/>
      </rPr>
      <t xml:space="preserve"> đến 94 điểm</t>
    </r>
  </si>
  <si>
    <t>+Yếu</t>
  </si>
  <si>
    <r>
      <t xml:space="preserve">: Dưới </t>
    </r>
    <r>
      <rPr>
        <b/>
        <sz val="10"/>
        <color indexed="10"/>
        <rFont val="Times New Roman"/>
        <family val="1"/>
      </rPr>
      <t>50</t>
    </r>
    <r>
      <rPr>
        <sz val="10"/>
        <color indexed="59"/>
        <rFont val="Times New Roman"/>
        <family val="1"/>
      </rPr>
      <t xml:space="preserve"> điểm</t>
    </r>
  </si>
  <si>
    <t>TH KQ ĐÁNH GIÁ CB-NV_CHUỖI…</t>
  </si>
  <si>
    <t>BM 01_ĐGCB</t>
  </si>
  <si>
    <t>CTTC</t>
  </si>
  <si>
    <t>PHỤ GHI</t>
  </si>
  <si>
    <t>CỘNG</t>
  </si>
  <si>
    <t>∑</t>
  </si>
  <si>
    <t>G</t>
  </si>
  <si>
    <t>K</t>
  </si>
  <si>
    <t>TB</t>
  </si>
  <si>
    <t>Y</t>
  </si>
  <si>
    <t>I/ VP CHUỖI</t>
  </si>
  <si>
    <t>1/ PHÒNG…</t>
  </si>
  <si>
    <t xml:space="preserve"> -</t>
  </si>
  <si>
    <t>TL</t>
  </si>
  <si>
    <t>2/ PHÒNG…</t>
  </si>
  <si>
    <t>3/ PHÒNG…</t>
  </si>
  <si>
    <t>4/ PHÒNG…</t>
  </si>
  <si>
    <t>II/ TH/NM</t>
  </si>
  <si>
    <t>2/ PX ….</t>
  </si>
  <si>
    <t>T.LINE</t>
  </si>
  <si>
    <t>CD/VỊ TRÍ CV 
QUY HOẠCH</t>
  </si>
  <si>
    <t>DIỄN GIẢI LÝ DO &lt;12
(lThai sản, phép ốm, không lương…)</t>
  </si>
  <si>
    <t>CÁN BỘ - NV NGHIỆP VỤ _ HOLDING &amp; VP 1</t>
  </si>
  <si>
    <t>Ngày: …./.../2024</t>
  </si>
  <si>
    <t>NĂM 2025</t>
  </si>
  <si>
    <t>NĂM  2025</t>
  </si>
  <si>
    <t>Từ: 01/01/2025-31/12/2025</t>
  </si>
  <si>
    <t>CDN
THỰC TẾ 2025</t>
  </si>
  <si>
    <t>SỐ THÁNG LV  2025</t>
  </si>
  <si>
    <t>KHĐT &amp; PTTH</t>
  </si>
  <si>
    <t>THỊNH</t>
  </si>
  <si>
    <t>VÕ YẾN</t>
  </si>
  <si>
    <t>VY</t>
  </si>
  <si>
    <t>VÕ THỊ HOÀI</t>
  </si>
  <si>
    <t>AN</t>
  </si>
  <si>
    <t>PHẠM HUỲNH THỊ</t>
  </si>
  <si>
    <t>TRẦN ANH</t>
  </si>
  <si>
    <t>NGUYỄN TUẤN</t>
  </si>
  <si>
    <t>LƯU VĂN</t>
  </si>
  <si>
    <t>HỒ LÊ NGỌC</t>
  </si>
  <si>
    <t>NGUYỄN THỊ ÁI</t>
  </si>
  <si>
    <t>PHAN VĂN</t>
  </si>
  <si>
    <t>DIỆP THỤY</t>
  </si>
  <si>
    <t>VI</t>
  </si>
  <si>
    <t>VƯƠNG CHÍ THẾ</t>
  </si>
  <si>
    <t>NGUYỄN THỊ THỦY</t>
  </si>
  <si>
    <t>BÙI KHÁNH</t>
  </si>
  <si>
    <t>QUANG THANH</t>
  </si>
  <si>
    <t>UÔNG NGỌC LAN</t>
  </si>
  <si>
    <t>LÊ THỊ THÙY</t>
  </si>
  <si>
    <t>NGUYỄN NGỌC KIM</t>
  </si>
  <si>
    <t>PHAN THANH BÍCH</t>
  </si>
  <si>
    <t>BÙI THỊ THANH</t>
  </si>
  <si>
    <t>MÙI</t>
  </si>
  <si>
    <t>NGUYỄN THỊ TIÊN</t>
  </si>
  <si>
    <t>LÊ THỊ TRƯỜNG</t>
  </si>
  <si>
    <t>QUY</t>
  </si>
  <si>
    <t>PHAN CÔNG</t>
  </si>
  <si>
    <t>SIN</t>
  </si>
  <si>
    <t>NGUYỄN LÊ THÙY</t>
  </si>
  <si>
    <t>NGÔ DIỆU</t>
  </si>
  <si>
    <t>HUỲNH THỤ</t>
  </si>
  <si>
    <t>CĂN</t>
  </si>
  <si>
    <t>HĐĐT</t>
  </si>
  <si>
    <t>P.CHẾ &amp; QTRR</t>
  </si>
  <si>
    <t>TC &amp; PTCB</t>
  </si>
  <si>
    <t>TC &amp; THANH KHOẢN</t>
  </si>
  <si>
    <t>NH &amp; THANH KHOẢN</t>
  </si>
  <si>
    <t>QTKS-ĐHHT &amp; KTNB</t>
  </si>
  <si>
    <t>KTT</t>
  </si>
  <si>
    <t>KẾ TOÁN TRƯỞNG</t>
  </si>
  <si>
    <t>PT-TH</t>
  </si>
  <si>
    <t>KẾ TOÁN TỔNG HỢP</t>
  </si>
  <si>
    <t>KẾ TOÁN DOANH THU</t>
  </si>
  <si>
    <t>KẾ TOÁN CHI PHÍ</t>
  </si>
  <si>
    <t>KẾ TOÁN NGÂN HÀNG</t>
  </si>
  <si>
    <t>KẾ TOÁN CÔNG NỢ</t>
  </si>
  <si>
    <t>MUA TS &amp; CCDC</t>
  </si>
  <si>
    <t>KẾ TOÁN KHO</t>
  </si>
  <si>
    <t>THỦ KHO CCDC</t>
  </si>
  <si>
    <t>KS DT &amp; CN PHẢI THU</t>
  </si>
  <si>
    <t>TH &amp; KS CÔNG NỢ</t>
  </si>
  <si>
    <t xml:space="preserve">PHẠM THỊ NGỌC </t>
  </si>
  <si>
    <t>ĐH-QT N.SXCN</t>
  </si>
  <si>
    <t>QT-KS</t>
  </si>
  <si>
    <t>NC-TK CNS</t>
  </si>
  <si>
    <t>PT-TH DLS</t>
  </si>
  <si>
    <t>LẬP TRÌNH</t>
  </si>
  <si>
    <t>ĐH-QT NNL</t>
  </si>
  <si>
    <t>KHĐH-TH</t>
  </si>
  <si>
    <t>CVP</t>
  </si>
  <si>
    <t>ĐHVP</t>
  </si>
  <si>
    <t>THƯ KÝ</t>
  </si>
  <si>
    <t>QT NNL</t>
  </si>
  <si>
    <t>HC-QT</t>
  </si>
  <si>
    <t>XD IE &amp; N.LƯƠNG</t>
  </si>
  <si>
    <t>ĐT &amp; PT NNL</t>
  </si>
  <si>
    <t>KHCN &amp; HTS</t>
  </si>
  <si>
    <t>TK &amp; QL HTS</t>
  </si>
  <si>
    <t>ĐT &amp; QLTS</t>
  </si>
  <si>
    <t>TH-CĐ TS &amp; MMTB</t>
  </si>
  <si>
    <t>CLKD &amp; QHKH</t>
  </si>
  <si>
    <t>KD PTSP</t>
  </si>
  <si>
    <t>NC-SC &amp; PTVT</t>
  </si>
  <si>
    <t>NC-PT DATA IE</t>
  </si>
  <si>
    <t>PT-TH NS VT</t>
  </si>
  <si>
    <t>PT-TH DATA SPDV</t>
  </si>
  <si>
    <t>NC-SC VT &amp; QT-KS CC</t>
  </si>
  <si>
    <t>KS MUA</t>
  </si>
  <si>
    <t>KẾ TOÁN NHẬP</t>
  </si>
  <si>
    <t>KIỂM SOÁT N-X-T</t>
  </si>
  <si>
    <t>KẾ TOÁN XUẤT</t>
  </si>
  <si>
    <t>MUA VT</t>
  </si>
  <si>
    <t>KS TƯCM</t>
  </si>
  <si>
    <t>TH-QT MUA</t>
  </si>
  <si>
    <t>KS NSVT</t>
  </si>
  <si>
    <t>PC &amp; QTRR</t>
  </si>
  <si>
    <t>BAN TT N.SXCN</t>
  </si>
  <si>
    <t>CĐS &amp; SW</t>
  </si>
  <si>
    <t>HC QT</t>
  </si>
  <si>
    <t>XD KS IE</t>
  </si>
  <si>
    <t>QT KS NNL</t>
  </si>
  <si>
    <t>ĐT PT NNL</t>
  </si>
  <si>
    <t>KHCN &amp; QLTS</t>
  </si>
  <si>
    <t>BAN CLKD &amp; QHKH</t>
  </si>
  <si>
    <t>NC PT DATA IE</t>
  </si>
  <si>
    <t>XD-ĐH-QTCC_SXCN</t>
  </si>
  <si>
    <t>AUDIT TNXH</t>
  </si>
  <si>
    <t>Trương Tấn Trung</t>
  </si>
  <si>
    <t>ABAP</t>
  </si>
  <si>
    <t>X</t>
  </si>
  <si>
    <t>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</si>
</sst>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_);_(* \(#,##0\);_(* &quot;-&quot;_);_(@_)"/>
    <numFmt numFmtId="165" formatCode="_(* #,##0.00_);_(* \(#,##0.00\);_(* &quot;-&quot;??_);_(@_)"/>
    <numFmt numFmtId="166" formatCode="0.0%"/>
    <numFmt numFmtId="167" formatCode="dd\.mm\.yy"/>
    <numFmt numFmtId="168" formatCode="_(* #,##0_);_(* \(#,##0\);_(* &quot;-&quot;??_);_(@_)"/>
  </numFmts>
  <fonts count="58">
    <font>
      <sz val="10"/>
      <name val="Arial"/>
    </font>
    <font>
      <sz val="11"/>
      <color theme="1"/>
      <name val="Calibri"/>
      <family val="2"/>
      <scheme val="minor"/>
    </font>
    <font>
      <sz val="10"/>
      <name val="Arial"/>
      <family val="2"/>
    </font>
    <font>
      <sz val="10"/>
      <name val="Times New Roman"/>
      <family val="1"/>
    </font>
    <font>
      <b/>
      <sz val="10"/>
      <name val="Times New Roman"/>
      <family val="1"/>
    </font>
    <font>
      <b/>
      <sz val="18"/>
      <color indexed="12"/>
      <name val="Times New Roman"/>
      <family val="1"/>
    </font>
    <font>
      <b/>
      <sz val="9"/>
      <name val="Times New Roman"/>
      <family val="1"/>
    </font>
    <font>
      <b/>
      <sz val="9"/>
      <color rgb="FFFF0000"/>
      <name val="Times New Roman"/>
      <family val="1"/>
    </font>
    <font>
      <b/>
      <sz val="12"/>
      <color indexed="12"/>
      <name val="Times New Roman"/>
      <family val="1"/>
    </font>
    <font>
      <sz val="9"/>
      <name val="Times New Roman"/>
      <family val="1"/>
    </font>
    <font>
      <b/>
      <sz val="10"/>
      <color rgb="FF0000FF"/>
      <name val="Times New Roman"/>
      <family val="1"/>
    </font>
    <font>
      <sz val="10"/>
      <color rgb="FF0000FF"/>
      <name val="Times New Roman"/>
      <family val="1"/>
    </font>
    <font>
      <b/>
      <sz val="10"/>
      <color rgb="FF003300"/>
      <name val="Times New Roman"/>
      <family val="1"/>
    </font>
    <font>
      <sz val="10"/>
      <color rgb="FF003300"/>
      <name val="Times New Roman"/>
      <family val="1"/>
    </font>
    <font>
      <i/>
      <sz val="8"/>
      <name val="Times New Roman"/>
      <family val="1"/>
    </font>
    <font>
      <sz val="11"/>
      <name val="VNI-Helve"/>
    </font>
    <font>
      <b/>
      <sz val="12"/>
      <color indexed="59"/>
      <name val="Times New Roman"/>
      <family val="1"/>
    </font>
    <font>
      <i/>
      <sz val="10"/>
      <name val="Times New Roman"/>
      <family val="1"/>
    </font>
    <font>
      <sz val="10"/>
      <color indexed="59"/>
      <name val="Times New Roman"/>
      <family val="1"/>
    </font>
    <font>
      <b/>
      <i/>
      <sz val="10"/>
      <color indexed="59"/>
      <name val="Times New Roman"/>
      <family val="1"/>
    </font>
    <font>
      <b/>
      <sz val="16"/>
      <color indexed="12"/>
      <name val="Times New Roman"/>
      <family val="1"/>
    </font>
    <font>
      <b/>
      <sz val="10"/>
      <color indexed="59"/>
      <name val="Times New Roman"/>
      <family val="1"/>
    </font>
    <font>
      <b/>
      <sz val="10"/>
      <color indexed="18"/>
      <name val="Times New Roman"/>
      <family val="1"/>
    </font>
    <font>
      <b/>
      <sz val="11"/>
      <color indexed="10"/>
      <name val="Times New Roman"/>
      <family val="1"/>
    </font>
    <font>
      <b/>
      <sz val="9"/>
      <color indexed="59"/>
      <name val="Times New Roman"/>
      <family val="1"/>
    </font>
    <font>
      <b/>
      <sz val="10"/>
      <color indexed="12"/>
      <name val="Times New Roman"/>
      <family val="1"/>
    </font>
    <font>
      <b/>
      <i/>
      <sz val="10"/>
      <color indexed="12"/>
      <name val="Times New Roman"/>
      <family val="1"/>
    </font>
    <font>
      <sz val="10"/>
      <color indexed="12"/>
      <name val="Times New Roman"/>
      <family val="1"/>
    </font>
    <font>
      <b/>
      <sz val="10"/>
      <color indexed="60"/>
      <name val="Times New Roman"/>
      <family val="1"/>
    </font>
    <font>
      <b/>
      <i/>
      <sz val="11"/>
      <color indexed="60"/>
      <name val="Times New Roman"/>
      <family val="1"/>
    </font>
    <font>
      <sz val="10"/>
      <color indexed="60"/>
      <name val="Times New Roman"/>
      <family val="1"/>
    </font>
    <font>
      <sz val="11"/>
      <color indexed="59"/>
      <name val="Times New Roman"/>
      <family val="1"/>
    </font>
    <font>
      <sz val="11"/>
      <color indexed="60"/>
      <name val="Times New Roman"/>
      <family val="1"/>
    </font>
    <font>
      <b/>
      <sz val="11"/>
      <color indexed="12"/>
      <name val="Times New Roman"/>
      <family val="1"/>
    </font>
    <font>
      <sz val="11"/>
      <color indexed="58"/>
      <name val="Times New Roman"/>
      <family val="1"/>
    </font>
    <font>
      <b/>
      <u/>
      <sz val="10"/>
      <color indexed="59"/>
      <name val="Times New Roman"/>
      <family val="1"/>
    </font>
    <font>
      <b/>
      <i/>
      <sz val="12"/>
      <color indexed="12"/>
      <name val="Times New Roman"/>
      <family val="1"/>
    </font>
    <font>
      <sz val="12"/>
      <color indexed="12"/>
      <name val="Times New Roman"/>
      <family val="1"/>
    </font>
    <font>
      <u/>
      <sz val="11"/>
      <color indexed="12"/>
      <name val="VNI-Helve"/>
    </font>
    <font>
      <b/>
      <sz val="12"/>
      <color indexed="18"/>
      <name val="Times New Roman"/>
      <family val="1"/>
    </font>
    <font>
      <b/>
      <sz val="14"/>
      <color indexed="10"/>
      <name val="Times New Roman"/>
      <family val="1"/>
    </font>
    <font>
      <u/>
      <sz val="10"/>
      <color indexed="59"/>
      <name val="Times New Roman"/>
      <family val="1"/>
    </font>
    <font>
      <b/>
      <sz val="11"/>
      <color indexed="59"/>
      <name val="Times New Roman"/>
      <family val="1"/>
    </font>
    <font>
      <sz val="11"/>
      <name val="Times New Roman"/>
      <family val="1"/>
    </font>
    <font>
      <b/>
      <i/>
      <u/>
      <sz val="10"/>
      <color indexed="60"/>
      <name val="Times New Roman"/>
      <family val="1"/>
    </font>
    <font>
      <b/>
      <sz val="10"/>
      <color indexed="10"/>
      <name val="Times New Roman"/>
      <family val="1"/>
    </font>
    <font>
      <sz val="10"/>
      <color indexed="58"/>
      <name val="Times New Roman"/>
      <family val="1"/>
    </font>
    <font>
      <sz val="10"/>
      <color indexed="10"/>
      <name val="Times New Roman"/>
      <family val="1"/>
    </font>
    <font>
      <b/>
      <sz val="19"/>
      <color rgb="FF0000FF"/>
      <name val="Times New Roman"/>
      <family val="1"/>
    </font>
    <font>
      <b/>
      <sz val="14"/>
      <color rgb="FF003300"/>
      <name val="Times New Roman"/>
      <family val="1"/>
    </font>
    <font>
      <b/>
      <sz val="11"/>
      <color rgb="FF003300"/>
      <name val="Times New Roman"/>
      <family val="1"/>
    </font>
    <font>
      <b/>
      <sz val="10"/>
      <name val="Arial"/>
      <family val="2"/>
    </font>
    <font>
      <b/>
      <sz val="12"/>
      <color rgb="FF003300"/>
      <name val="Times New Roman"/>
      <family val="1"/>
    </font>
    <font>
      <b/>
      <sz val="12"/>
      <name val="Arial"/>
      <family val="2"/>
    </font>
    <font>
      <b/>
      <sz val="10"/>
      <color rgb="FFFF0000"/>
      <name val="Arial"/>
      <family val="2"/>
    </font>
    <font>
      <b/>
      <sz val="10"/>
      <color rgb="FF0033CC"/>
      <name val="Arial"/>
      <family val="2"/>
    </font>
    <font>
      <b/>
      <i/>
      <sz val="10"/>
      <color indexed="14"/>
      <name val="Times New Roman"/>
      <family val="1"/>
    </font>
    <font>
      <b/>
      <i/>
      <sz val="10"/>
      <color indexed="10"/>
      <name val="Times New Roman"/>
      <family val="1"/>
    </font>
  </fonts>
  <fills count="9">
    <fill>
      <patternFill patternType="none"/>
    </fill>
    <fill>
      <patternFill patternType="gray125"/>
    </fill>
    <fill>
      <patternFill patternType="solid">
        <fgColor theme="6" tint="0.79998168889431442"/>
        <bgColor auto="1"/>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auto="1"/>
      </patternFill>
    </fill>
    <fill>
      <patternFill patternType="solid">
        <fgColor indexed="9"/>
        <bgColor indexed="64"/>
      </patternFill>
    </fill>
    <fill>
      <patternFill patternType="solid">
        <fgColor theme="7" tint="0.79998168889431442"/>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bottom/>
      <diagonal/>
    </border>
    <border>
      <left style="thin">
        <color indexed="64"/>
      </left>
      <right style="thin">
        <color indexed="64"/>
      </right>
      <top style="hair">
        <color indexed="64"/>
      </top>
      <bottom style="thin">
        <color indexed="64"/>
      </bottom>
      <diagonal/>
    </border>
    <border>
      <left/>
      <right style="double">
        <color indexed="64"/>
      </right>
      <top style="double">
        <color indexed="64"/>
      </top>
      <bottom style="thin">
        <color indexed="64"/>
      </bottom>
      <diagonal/>
    </border>
    <border>
      <left/>
      <right style="double">
        <color indexed="64"/>
      </right>
      <top style="hair">
        <color indexed="64"/>
      </top>
      <bottom style="hair">
        <color indexed="64"/>
      </bottom>
      <diagonal/>
    </border>
    <border>
      <left/>
      <right style="double">
        <color indexed="64"/>
      </right>
      <top style="hair">
        <color indexed="64"/>
      </top>
      <bottom style="thin">
        <color indexed="64"/>
      </bottom>
      <diagonal/>
    </border>
    <border>
      <left style="thin">
        <color indexed="64"/>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hair">
        <color indexed="64"/>
      </right>
      <top style="thin">
        <color theme="0" tint="-0.24994659260841701"/>
      </top>
      <bottom style="thin">
        <color theme="0" tint="-0.24994659260841701"/>
      </bottom>
      <diagonal/>
    </border>
    <border>
      <left style="hair">
        <color indexed="64"/>
      </left>
      <right style="hair">
        <color indexed="64"/>
      </right>
      <top style="thin">
        <color theme="0" tint="-0.24994659260841701"/>
      </top>
      <bottom style="thin">
        <color theme="0" tint="-0.24994659260841701"/>
      </bottom>
      <diagonal/>
    </border>
    <border>
      <left style="hair">
        <color indexed="64"/>
      </left>
      <right style="thin">
        <color indexed="64"/>
      </right>
      <top style="thin">
        <color theme="0" tint="-0.24994659260841701"/>
      </top>
      <bottom style="thin">
        <color theme="0" tint="-0.24994659260841701"/>
      </bottom>
      <diagonal/>
    </border>
    <border>
      <left style="medium">
        <color indexed="64"/>
      </left>
      <right style="thin">
        <color indexed="64"/>
      </right>
      <top style="thin">
        <color theme="0" tint="-0.24994659260841701"/>
      </top>
      <bottom style="medium">
        <color indexed="64"/>
      </bottom>
      <diagonal/>
    </border>
    <border>
      <left style="thin">
        <color indexed="64"/>
      </left>
      <right style="thin">
        <color indexed="64"/>
      </right>
      <top style="thin">
        <color theme="0" tint="-0.24994659260841701"/>
      </top>
      <bottom style="medium">
        <color indexed="64"/>
      </bottom>
      <diagonal/>
    </border>
    <border>
      <left style="thin">
        <color indexed="64"/>
      </left>
      <right style="hair">
        <color indexed="64"/>
      </right>
      <top style="thin">
        <color theme="0" tint="-0.24994659260841701"/>
      </top>
      <bottom style="medium">
        <color indexed="64"/>
      </bottom>
      <diagonal/>
    </border>
    <border>
      <left style="hair">
        <color indexed="64"/>
      </left>
      <right style="hair">
        <color indexed="64"/>
      </right>
      <top style="thin">
        <color theme="0" tint="-0.24994659260841701"/>
      </top>
      <bottom style="medium">
        <color indexed="64"/>
      </bottom>
      <diagonal/>
    </border>
    <border>
      <left style="hair">
        <color indexed="64"/>
      </left>
      <right style="thin">
        <color indexed="64"/>
      </right>
      <top style="thin">
        <color theme="0" tint="-0.24994659260841701"/>
      </top>
      <bottom style="medium">
        <color indexed="64"/>
      </bottom>
      <diagonal/>
    </border>
  </borders>
  <cellStyleXfs count="18">
    <xf numFmtId="0" fontId="0" fillId="0" borderId="0">
      <alignment vertical="top"/>
    </xf>
    <xf numFmtId="165" fontId="2" fillId="0" borderId="0" applyFont="0" applyFill="0" applyBorder="0" applyAlignment="0" applyProtection="0"/>
    <xf numFmtId="9" fontId="2" fillId="0" borderId="0" applyFont="0" applyFill="0" applyBorder="0" applyAlignment="0" applyProtection="0"/>
    <xf numFmtId="0" fontId="2" fillId="0" borderId="0">
      <alignment vertical="top"/>
    </xf>
    <xf numFmtId="0" fontId="2" fillId="0" borderId="0"/>
    <xf numFmtId="0" fontId="15" fillId="0" borderId="0"/>
    <xf numFmtId="0" fontId="38" fillId="0" borderId="0" applyNumberFormat="0" applyFill="0" applyBorder="0" applyAlignment="0" applyProtection="0">
      <alignment vertical="top"/>
      <protection locked="0"/>
    </xf>
    <xf numFmtId="165" fontId="2" fillId="0" borderId="0" applyFont="0" applyFill="0" applyBorder="0" applyAlignment="0" applyProtection="0"/>
    <xf numFmtId="9" fontId="2" fillId="0" borderId="0" applyFont="0" applyFill="0" applyBorder="0" applyAlignment="0" applyProtection="0"/>
    <xf numFmtId="0" fontId="2"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2" fillId="0" borderId="0">
      <alignment vertical="top"/>
    </xf>
  </cellStyleXfs>
  <cellXfs count="371">
    <xf numFmtId="0" fontId="0" fillId="0" borderId="0" xfId="0">
      <alignment vertical="top"/>
    </xf>
    <xf numFmtId="0" fontId="3" fillId="0" borderId="0" xfId="3" applyFont="1" applyAlignment="1">
      <alignment vertical="center"/>
    </xf>
    <xf numFmtId="0" fontId="4" fillId="0" borderId="0" xfId="3" applyFont="1" applyAlignment="1">
      <alignment vertical="center"/>
    </xf>
    <xf numFmtId="0" fontId="3" fillId="0" borderId="0" xfId="0" applyFont="1" applyAlignment="1">
      <alignment horizontal="right" vertical="center"/>
    </xf>
    <xf numFmtId="0" fontId="6" fillId="0" borderId="0" xfId="3" applyFont="1" applyAlignment="1">
      <alignment vertical="center"/>
    </xf>
    <xf numFmtId="0" fontId="7" fillId="0" borderId="0" xfId="3" applyFont="1" applyAlignment="1">
      <alignment vertical="center"/>
    </xf>
    <xf numFmtId="0" fontId="3" fillId="0" borderId="0" xfId="3" applyFont="1" applyAlignment="1">
      <alignment horizontal="centerContinuous" vertical="center"/>
    </xf>
    <xf numFmtId="0" fontId="3" fillId="0" borderId="0" xfId="3" applyFont="1" applyBorder="1" applyAlignment="1">
      <alignment vertical="center"/>
    </xf>
    <xf numFmtId="0" fontId="3" fillId="0" borderId="0" xfId="3" applyFont="1" applyBorder="1" applyAlignment="1">
      <alignment horizontal="center" vertical="center"/>
    </xf>
    <xf numFmtId="0" fontId="3" fillId="0" borderId="0" xfId="3" applyFont="1" applyBorder="1" applyAlignment="1">
      <alignment horizontal="left" vertical="center"/>
    </xf>
    <xf numFmtId="0" fontId="9" fillId="0" borderId="0" xfId="3" applyFont="1" applyAlignment="1">
      <alignment horizontal="center" vertical="center"/>
    </xf>
    <xf numFmtId="0" fontId="9" fillId="0" borderId="4" xfId="3" applyFont="1" applyBorder="1" applyAlignment="1">
      <alignment horizontal="center" vertical="center"/>
    </xf>
    <xf numFmtId="0" fontId="6" fillId="2" borderId="5" xfId="3" applyFont="1" applyFill="1" applyBorder="1" applyAlignment="1">
      <alignment horizontal="centerContinuous" vertical="center"/>
    </xf>
    <xf numFmtId="0" fontId="6" fillId="2" borderId="6" xfId="3" applyFont="1" applyFill="1" applyBorder="1" applyAlignment="1">
      <alignment horizontal="centerContinuous" vertical="center"/>
    </xf>
    <xf numFmtId="0" fontId="9" fillId="0" borderId="1" xfId="3" applyFont="1" applyBorder="1" applyAlignment="1">
      <alignment horizontal="center" vertical="center"/>
    </xf>
    <xf numFmtId="0" fontId="6" fillId="0" borderId="0" xfId="3" applyFont="1" applyBorder="1" applyAlignment="1">
      <alignment horizontal="center" vertical="center"/>
    </xf>
    <xf numFmtId="0" fontId="6" fillId="2" borderId="5" xfId="3" applyFont="1" applyFill="1" applyBorder="1" applyAlignment="1">
      <alignment horizontal="center" vertical="center" wrapText="1"/>
    </xf>
    <xf numFmtId="0" fontId="6" fillId="0" borderId="10" xfId="3" applyFont="1" applyBorder="1" applyAlignment="1">
      <alignment horizontal="center" vertical="center"/>
    </xf>
    <xf numFmtId="0" fontId="9" fillId="0" borderId="0" xfId="3" applyFont="1" applyAlignment="1">
      <alignment horizontal="left" vertical="center"/>
    </xf>
    <xf numFmtId="9" fontId="9" fillId="0" borderId="0" xfId="2" applyFont="1" applyAlignment="1">
      <alignment horizontal="center" vertical="center"/>
    </xf>
    <xf numFmtId="0" fontId="3" fillId="0" borderId="6" xfId="3" applyFont="1" applyBorder="1" applyAlignment="1">
      <alignment vertical="center"/>
    </xf>
    <xf numFmtId="0" fontId="4" fillId="0" borderId="6" xfId="3" applyFont="1" applyBorder="1" applyAlignment="1">
      <alignment vertical="center"/>
    </xf>
    <xf numFmtId="0" fontId="3" fillId="0" borderId="6" xfId="3" applyFont="1" applyBorder="1" applyAlignment="1">
      <alignment horizontal="center" vertical="center"/>
    </xf>
    <xf numFmtId="0" fontId="3" fillId="0" borderId="6" xfId="3" applyFont="1" applyBorder="1" applyAlignment="1">
      <alignment horizontal="left" vertical="center"/>
    </xf>
    <xf numFmtId="0" fontId="4" fillId="0" borderId="0" xfId="3" applyFont="1" applyBorder="1" applyAlignment="1">
      <alignment horizontal="center" vertical="center"/>
    </xf>
    <xf numFmtId="164" fontId="3" fillId="0" borderId="0" xfId="3" applyNumberFormat="1" applyFont="1" applyAlignment="1">
      <alignment vertical="center"/>
    </xf>
    <xf numFmtId="0" fontId="10" fillId="5" borderId="5" xfId="3" applyFont="1" applyFill="1" applyBorder="1" applyAlignment="1">
      <alignment vertical="center"/>
    </xf>
    <xf numFmtId="0" fontId="11" fillId="5" borderId="6" xfId="3" applyFont="1" applyFill="1" applyBorder="1" applyAlignment="1">
      <alignment vertical="center"/>
    </xf>
    <xf numFmtId="0" fontId="10" fillId="5" borderId="6" xfId="3" applyFont="1" applyFill="1" applyBorder="1" applyAlignment="1">
      <alignment horizontal="center" vertical="center"/>
    </xf>
    <xf numFmtId="0" fontId="10" fillId="5" borderId="6" xfId="3" applyFont="1" applyFill="1" applyBorder="1" applyAlignment="1">
      <alignment vertical="center"/>
    </xf>
    <xf numFmtId="0" fontId="11" fillId="5" borderId="6" xfId="3" applyFont="1" applyFill="1" applyBorder="1" applyAlignment="1">
      <alignment horizontal="center" vertical="center"/>
    </xf>
    <xf numFmtId="0" fontId="11" fillId="5" borderId="6" xfId="3" applyFont="1" applyFill="1" applyBorder="1" applyAlignment="1">
      <alignment horizontal="left" vertical="center"/>
    </xf>
    <xf numFmtId="0" fontId="4" fillId="0" borderId="10" xfId="3" applyFont="1" applyBorder="1" applyAlignment="1">
      <alignment horizontal="center" vertical="center"/>
    </xf>
    <xf numFmtId="166" fontId="10" fillId="5" borderId="11" xfId="2" applyNumberFormat="1" applyFont="1" applyFill="1" applyBorder="1" applyAlignment="1">
      <alignment horizontal="center" vertical="center"/>
    </xf>
    <xf numFmtId="0" fontId="11" fillId="5" borderId="11" xfId="3" applyFont="1" applyFill="1" applyBorder="1" applyAlignment="1">
      <alignment horizontal="left" vertical="center"/>
    </xf>
    <xf numFmtId="0" fontId="4" fillId="0" borderId="0" xfId="3" applyFont="1" applyBorder="1" applyAlignment="1">
      <alignment vertical="center"/>
    </xf>
    <xf numFmtId="0" fontId="12" fillId="2" borderId="5" xfId="4" applyFont="1" applyFill="1" applyBorder="1" applyAlignment="1">
      <alignment horizontal="left" vertical="center"/>
    </xf>
    <xf numFmtId="0" fontId="12" fillId="2" borderId="6" xfId="4" applyFont="1" applyFill="1" applyBorder="1" applyAlignment="1">
      <alignment horizontal="center" vertical="center"/>
    </xf>
    <xf numFmtId="0" fontId="12" fillId="2" borderId="6" xfId="4" applyFont="1" applyFill="1" applyBorder="1" applyAlignment="1">
      <alignment horizontal="left" vertical="center"/>
    </xf>
    <xf numFmtId="9" fontId="12" fillId="2" borderId="11" xfId="2" applyFont="1" applyFill="1" applyBorder="1" applyAlignment="1">
      <alignment horizontal="center" vertical="center"/>
    </xf>
    <xf numFmtId="0" fontId="12" fillId="2" borderId="11" xfId="4" applyFont="1" applyFill="1" applyBorder="1" applyAlignment="1">
      <alignment horizontal="left" vertical="center"/>
    </xf>
    <xf numFmtId="0" fontId="3" fillId="0" borderId="0" xfId="3" applyFont="1" applyFill="1" applyAlignment="1">
      <alignment vertical="center"/>
    </xf>
    <xf numFmtId="0" fontId="13" fillId="0" borderId="12" xfId="0" applyFont="1" applyBorder="1" applyAlignment="1">
      <alignment horizontal="center" shrinkToFit="1"/>
    </xf>
    <xf numFmtId="0" fontId="13" fillId="0" borderId="13" xfId="4" applyFont="1" applyBorder="1" applyAlignment="1">
      <alignment horizontal="center" vertical="center" shrinkToFit="1"/>
    </xf>
    <xf numFmtId="0" fontId="3" fillId="0" borderId="14" xfId="3" applyFont="1" applyFill="1" applyBorder="1" applyAlignment="1">
      <alignment horizontal="left" vertical="center" shrinkToFit="1"/>
    </xf>
    <xf numFmtId="0" fontId="4" fillId="0" borderId="15" xfId="3" applyNumberFormat="1" applyFont="1" applyFill="1" applyBorder="1" applyAlignment="1">
      <alignment horizontal="left" vertical="center" shrinkToFit="1"/>
    </xf>
    <xf numFmtId="167" fontId="3" fillId="0" borderId="13" xfId="1" applyNumberFormat="1" applyFont="1" applyFill="1" applyBorder="1" applyAlignment="1">
      <alignment horizontal="center" vertical="center" shrinkToFit="1"/>
    </xf>
    <xf numFmtId="0" fontId="3" fillId="0" borderId="14" xfId="3" applyFont="1" applyFill="1" applyBorder="1" applyAlignment="1">
      <alignment horizontal="center" vertical="center" shrinkToFit="1"/>
    </xf>
    <xf numFmtId="0" fontId="3" fillId="0" borderId="15" xfId="3" applyFont="1" applyFill="1" applyBorder="1" applyAlignment="1">
      <alignment horizontal="left" vertical="center" shrinkToFit="1"/>
    </xf>
    <xf numFmtId="0" fontId="4" fillId="0" borderId="10" xfId="3" applyFont="1" applyFill="1" applyBorder="1" applyAlignment="1">
      <alignment horizontal="center" vertical="center" shrinkToFit="1"/>
    </xf>
    <xf numFmtId="168" fontId="3" fillId="0" borderId="13" xfId="1" applyNumberFormat="1" applyFont="1" applyFill="1" applyBorder="1" applyAlignment="1">
      <alignment horizontal="center" vertical="center" shrinkToFit="1"/>
    </xf>
    <xf numFmtId="165" fontId="4" fillId="0" borderId="13" xfId="1" applyFont="1" applyFill="1" applyBorder="1" applyAlignment="1">
      <alignment horizontal="center" vertical="center" shrinkToFit="1"/>
    </xf>
    <xf numFmtId="0" fontId="3" fillId="0" borderId="13" xfId="3" applyFont="1" applyFill="1" applyBorder="1" applyAlignment="1">
      <alignment vertical="center" shrinkToFit="1"/>
    </xf>
    <xf numFmtId="0" fontId="3" fillId="0" borderId="16" xfId="3" applyFont="1" applyFill="1" applyBorder="1" applyAlignment="1">
      <alignment horizontal="center" vertical="center" shrinkToFit="1"/>
    </xf>
    <xf numFmtId="0" fontId="3" fillId="0" borderId="0" xfId="3" applyFont="1" applyFill="1" applyAlignment="1">
      <alignment horizontal="center" vertical="center"/>
    </xf>
    <xf numFmtId="0" fontId="6" fillId="0" borderId="0" xfId="3" applyFont="1" applyBorder="1" applyAlignment="1">
      <alignment vertical="center"/>
    </xf>
    <xf numFmtId="0" fontId="6" fillId="0" borderId="0" xfId="3" applyFont="1" applyBorder="1" applyAlignment="1">
      <alignment horizontal="left" vertical="center"/>
    </xf>
    <xf numFmtId="0" fontId="6" fillId="0" borderId="0" xfId="3" applyFont="1" applyAlignment="1">
      <alignment horizontal="center" vertical="center"/>
    </xf>
    <xf numFmtId="0" fontId="6" fillId="0" borderId="0" xfId="3" applyFont="1" applyAlignment="1">
      <alignment horizontal="centerContinuous" vertical="center"/>
    </xf>
    <xf numFmtId="0" fontId="5" fillId="0" borderId="0" xfId="5" applyFont="1" applyFill="1" applyBorder="1" applyAlignment="1">
      <alignment horizontal="centerContinuous" vertical="center"/>
    </xf>
    <xf numFmtId="0" fontId="16" fillId="0" borderId="0" xfId="5" applyFont="1" applyFill="1" applyBorder="1" applyAlignment="1">
      <alignment horizontal="centerContinuous" vertical="center"/>
    </xf>
    <xf numFmtId="0" fontId="18" fillId="0" borderId="0" xfId="5" applyFont="1" applyFill="1" applyBorder="1" applyAlignment="1">
      <alignment vertical="center"/>
    </xf>
    <xf numFmtId="0" fontId="20" fillId="0" borderId="0" xfId="5" applyFont="1" applyFill="1" applyBorder="1" applyAlignment="1">
      <alignment horizontal="centerContinuous" vertical="center"/>
    </xf>
    <xf numFmtId="0" fontId="21" fillId="0" borderId="0" xfId="5" applyFont="1" applyFill="1" applyBorder="1" applyAlignment="1">
      <alignment horizontal="centerContinuous" vertical="center"/>
    </xf>
    <xf numFmtId="0" fontId="18" fillId="0" borderId="0" xfId="5" applyFont="1" applyFill="1" applyBorder="1" applyAlignment="1">
      <alignment horizontal="centerContinuous" vertical="center"/>
    </xf>
    <xf numFmtId="0" fontId="22" fillId="0" borderId="18" xfId="5" applyFont="1" applyFill="1" applyBorder="1" applyAlignment="1">
      <alignment vertical="center"/>
    </xf>
    <xf numFmtId="0" fontId="21" fillId="0" borderId="19" xfId="5" applyFont="1" applyFill="1" applyBorder="1" applyAlignment="1">
      <alignment vertical="center"/>
    </xf>
    <xf numFmtId="0" fontId="21" fillId="0" borderId="20" xfId="5" applyFont="1" applyFill="1" applyBorder="1" applyAlignment="1">
      <alignment vertical="center"/>
    </xf>
    <xf numFmtId="0" fontId="22" fillId="0" borderId="14" xfId="5" applyFont="1" applyFill="1" applyBorder="1" applyAlignment="1">
      <alignment vertical="center"/>
    </xf>
    <xf numFmtId="0" fontId="21" fillId="0" borderId="16" xfId="5" applyFont="1" applyFill="1" applyBorder="1" applyAlignment="1">
      <alignment vertical="center"/>
    </xf>
    <xf numFmtId="0" fontId="21" fillId="0" borderId="15" xfId="5" applyFont="1" applyFill="1" applyBorder="1" applyAlignment="1">
      <alignment vertical="center"/>
    </xf>
    <xf numFmtId="0" fontId="22" fillId="0" borderId="21" xfId="5" applyFont="1" applyFill="1" applyBorder="1" applyAlignment="1">
      <alignment vertical="center"/>
    </xf>
    <xf numFmtId="0" fontId="21" fillId="0" borderId="22" xfId="5" applyFont="1" applyFill="1" applyBorder="1" applyAlignment="1">
      <alignment vertical="center"/>
    </xf>
    <xf numFmtId="0" fontId="21" fillId="0" borderId="23" xfId="5" applyFont="1" applyFill="1" applyBorder="1" applyAlignment="1">
      <alignment vertical="center"/>
    </xf>
    <xf numFmtId="0" fontId="21" fillId="0" borderId="0" xfId="5" applyFont="1" applyFill="1" applyBorder="1" applyAlignment="1">
      <alignment vertical="center"/>
    </xf>
    <xf numFmtId="0" fontId="24" fillId="3" borderId="24" xfId="5" applyFont="1" applyFill="1" applyBorder="1" applyAlignment="1">
      <alignment horizontal="center" vertical="center" wrapText="1"/>
    </xf>
    <xf numFmtId="0" fontId="21" fillId="0" borderId="0" xfId="5" applyFont="1" applyFill="1" applyBorder="1" applyAlignment="1">
      <alignment horizontal="center" vertical="center"/>
    </xf>
    <xf numFmtId="0" fontId="21" fillId="0" borderId="0" xfId="5" applyFont="1" applyFill="1" applyBorder="1" applyAlignment="1">
      <alignment horizontal="left" vertical="center"/>
    </xf>
    <xf numFmtId="0" fontId="21" fillId="0" borderId="0" xfId="5" applyFont="1" applyFill="1" applyBorder="1" applyAlignment="1">
      <alignment horizontal="center" vertical="center" wrapText="1"/>
    </xf>
    <xf numFmtId="0" fontId="19" fillId="0" borderId="0" xfId="5" applyFont="1" applyFill="1" applyBorder="1" applyAlignment="1">
      <alignment horizontal="center" vertical="center" wrapText="1"/>
    </xf>
    <xf numFmtId="0" fontId="25" fillId="0" borderId="5" xfId="5" applyFont="1" applyFill="1" applyBorder="1" applyAlignment="1">
      <alignment horizontal="center" vertical="center"/>
    </xf>
    <xf numFmtId="0" fontId="25" fillId="0" borderId="11" xfId="5" applyFont="1" applyFill="1" applyBorder="1" applyAlignment="1">
      <alignment horizontal="left" vertical="center"/>
    </xf>
    <xf numFmtId="0" fontId="25" fillId="0" borderId="5" xfId="5" applyFont="1" applyFill="1" applyBorder="1" applyAlignment="1">
      <alignment horizontal="center" vertical="center" wrapText="1"/>
    </xf>
    <xf numFmtId="0" fontId="25" fillId="0" borderId="6" xfId="5" applyFont="1" applyFill="1" applyBorder="1" applyAlignment="1">
      <alignment horizontal="center" vertical="center" wrapText="1"/>
    </xf>
    <xf numFmtId="0" fontId="25" fillId="0" borderId="11" xfId="5" applyFont="1" applyFill="1" applyBorder="1" applyAlignment="1">
      <alignment horizontal="center" vertical="center" wrapText="1"/>
    </xf>
    <xf numFmtId="0" fontId="25" fillId="0" borderId="24" xfId="5" applyFont="1" applyFill="1" applyBorder="1" applyAlignment="1">
      <alignment horizontal="center" vertical="center"/>
    </xf>
    <xf numFmtId="0" fontId="26" fillId="0" borderId="24" xfId="5" applyFont="1" applyFill="1" applyBorder="1" applyAlignment="1">
      <alignment horizontal="center" vertical="center" wrapText="1"/>
    </xf>
    <xf numFmtId="168" fontId="25" fillId="0" borderId="24" xfId="5" applyNumberFormat="1" applyFont="1" applyFill="1" applyBorder="1" applyAlignment="1">
      <alignment horizontal="center" vertical="center"/>
    </xf>
    <xf numFmtId="0" fontId="25" fillId="0" borderId="25" xfId="5" applyFont="1" applyFill="1" applyBorder="1" applyAlignment="1">
      <alignment horizontal="center" vertical="center"/>
    </xf>
    <xf numFmtId="0" fontId="27" fillId="0" borderId="0" xfId="5" applyFont="1" applyFill="1" applyBorder="1" applyAlignment="1">
      <alignment vertical="center"/>
    </xf>
    <xf numFmtId="0" fontId="28" fillId="0" borderId="0" xfId="5" applyFont="1" applyFill="1" applyBorder="1" applyAlignment="1">
      <alignment horizontal="center" vertical="center"/>
    </xf>
    <xf numFmtId="0" fontId="29" fillId="0" borderId="17" xfId="5" applyFont="1" applyFill="1" applyBorder="1" applyAlignment="1">
      <alignment horizontal="left" vertical="center"/>
    </xf>
    <xf numFmtId="0" fontId="30" fillId="0" borderId="17" xfId="5" applyFont="1" applyFill="1" applyBorder="1" applyAlignment="1">
      <alignment vertical="center"/>
    </xf>
    <xf numFmtId="0" fontId="28" fillId="0" borderId="17" xfId="5" applyFont="1" applyFill="1" applyBorder="1" applyAlignment="1">
      <alignment horizontal="center" vertical="center"/>
    </xf>
    <xf numFmtId="0" fontId="30" fillId="0" borderId="17" xfId="5" applyFont="1" applyFill="1" applyBorder="1" applyAlignment="1">
      <alignment horizontal="center" vertical="center"/>
    </xf>
    <xf numFmtId="168" fontId="28" fillId="0" borderId="17" xfId="1" applyNumberFormat="1" applyFont="1" applyFill="1" applyBorder="1" applyAlignment="1">
      <alignment horizontal="center" vertical="center"/>
    </xf>
    <xf numFmtId="0" fontId="30" fillId="0" borderId="0" xfId="5" applyFont="1" applyFill="1" applyBorder="1" applyAlignment="1">
      <alignment vertical="center"/>
    </xf>
    <xf numFmtId="0" fontId="21" fillId="0" borderId="26" xfId="5" applyFont="1" applyFill="1" applyBorder="1" applyAlignment="1">
      <alignment horizontal="center" vertical="center"/>
    </xf>
    <xf numFmtId="0" fontId="21" fillId="0" borderId="12" xfId="5" applyFont="1" applyFill="1" applyBorder="1" applyAlignment="1">
      <alignment horizontal="center" vertical="center"/>
    </xf>
    <xf numFmtId="0" fontId="21" fillId="0" borderId="12" xfId="5" applyFont="1" applyFill="1" applyBorder="1" applyAlignment="1">
      <alignment horizontal="center" vertical="center" wrapText="1"/>
    </xf>
    <xf numFmtId="0" fontId="18" fillId="0" borderId="12" xfId="5" applyFont="1" applyFill="1" applyBorder="1" applyAlignment="1">
      <alignment horizontal="center" vertical="center"/>
    </xf>
    <xf numFmtId="168" fontId="18" fillId="0" borderId="12" xfId="1" applyNumberFormat="1" applyFont="1" applyFill="1" applyBorder="1" applyAlignment="1">
      <alignment horizontal="center" vertical="center"/>
    </xf>
    <xf numFmtId="0" fontId="18" fillId="0" borderId="12" xfId="5" applyFont="1" applyFill="1" applyBorder="1" applyAlignment="1">
      <alignment vertical="center"/>
    </xf>
    <xf numFmtId="0" fontId="21" fillId="0" borderId="13" xfId="5" applyFont="1" applyFill="1" applyBorder="1" applyAlignment="1">
      <alignment horizontal="center" vertical="center"/>
    </xf>
    <xf numFmtId="0" fontId="21" fillId="0" borderId="13" xfId="5" applyFont="1" applyFill="1" applyBorder="1" applyAlignment="1">
      <alignment horizontal="center" vertical="center" wrapText="1"/>
    </xf>
    <xf numFmtId="0" fontId="18" fillId="0" borderId="13" xfId="5" applyFont="1" applyFill="1" applyBorder="1" applyAlignment="1">
      <alignment horizontal="center" vertical="center"/>
    </xf>
    <xf numFmtId="168" fontId="18" fillId="0" borderId="13" xfId="1" applyNumberFormat="1" applyFont="1" applyFill="1" applyBorder="1" applyAlignment="1">
      <alignment horizontal="center" vertical="center"/>
    </xf>
    <xf numFmtId="0" fontId="18" fillId="0" borderId="13" xfId="5" applyFont="1" applyFill="1" applyBorder="1" applyAlignment="1">
      <alignment vertical="center"/>
    </xf>
    <xf numFmtId="0" fontId="21" fillId="0" borderId="27" xfId="5" applyFont="1" applyFill="1" applyBorder="1" applyAlignment="1">
      <alignment horizontal="center" vertical="center"/>
    </xf>
    <xf numFmtId="0" fontId="21" fillId="0" borderId="27" xfId="5" applyFont="1" applyFill="1" applyBorder="1" applyAlignment="1">
      <alignment horizontal="center" vertical="center" wrapText="1"/>
    </xf>
    <xf numFmtId="0" fontId="18" fillId="0" borderId="27" xfId="5" applyFont="1" applyFill="1" applyBorder="1" applyAlignment="1">
      <alignment horizontal="center" vertical="center"/>
    </xf>
    <xf numFmtId="168" fontId="18" fillId="0" borderId="27" xfId="1" applyNumberFormat="1" applyFont="1" applyFill="1" applyBorder="1" applyAlignment="1">
      <alignment horizontal="center" vertical="center"/>
    </xf>
    <xf numFmtId="0" fontId="18" fillId="0" borderId="27" xfId="5" applyFont="1" applyFill="1" applyBorder="1" applyAlignment="1">
      <alignment vertical="center"/>
    </xf>
    <xf numFmtId="0" fontId="32" fillId="0" borderId="17" xfId="5" applyFont="1" applyFill="1" applyBorder="1" applyAlignment="1">
      <alignment vertical="center"/>
    </xf>
    <xf numFmtId="0" fontId="21" fillId="0" borderId="25" xfId="5" applyFont="1" applyFill="1" applyBorder="1" applyAlignment="1">
      <alignment horizontal="center" vertical="center"/>
    </xf>
    <xf numFmtId="0" fontId="31" fillId="0" borderId="0" xfId="5" applyFont="1" applyFill="1" applyBorder="1" applyAlignment="1">
      <alignment horizontal="left" vertical="center" wrapText="1"/>
    </xf>
    <xf numFmtId="0" fontId="18" fillId="0" borderId="0" xfId="5" applyFont="1" applyFill="1" applyBorder="1" applyAlignment="1">
      <alignment horizontal="center" vertical="center"/>
    </xf>
    <xf numFmtId="168" fontId="18" fillId="0" borderId="0" xfId="1" applyNumberFormat="1" applyFont="1" applyFill="1" applyBorder="1" applyAlignment="1">
      <alignment horizontal="center" vertical="center"/>
    </xf>
    <xf numFmtId="0" fontId="33" fillId="0" borderId="5" xfId="5" applyFont="1" applyFill="1" applyBorder="1" applyAlignment="1">
      <alignment horizontal="center" vertical="center" wrapText="1"/>
    </xf>
    <xf numFmtId="0" fontId="33" fillId="0" borderId="6" xfId="5" applyFont="1" applyFill="1" applyBorder="1" applyAlignment="1">
      <alignment horizontal="center" vertical="center" wrapText="1"/>
    </xf>
    <xf numFmtId="0" fontId="33" fillId="0" borderId="11" xfId="5" applyFont="1" applyFill="1" applyBorder="1" applyAlignment="1">
      <alignment horizontal="center" vertical="center" wrapText="1"/>
    </xf>
    <xf numFmtId="0" fontId="31" fillId="0" borderId="14" xfId="5" applyFont="1" applyFill="1" applyBorder="1" applyAlignment="1">
      <alignment horizontal="left" vertical="center"/>
    </xf>
    <xf numFmtId="0" fontId="31" fillId="0" borderId="16" xfId="5" applyFont="1" applyFill="1" applyBorder="1" applyAlignment="1">
      <alignment horizontal="left" vertical="center"/>
    </xf>
    <xf numFmtId="0" fontId="31" fillId="0" borderId="15" xfId="5" applyFont="1" applyFill="1" applyBorder="1" applyAlignment="1">
      <alignment horizontal="left" vertical="center"/>
    </xf>
    <xf numFmtId="0" fontId="21" fillId="8" borderId="13" xfId="5" applyFont="1" applyFill="1" applyBorder="1" applyAlignment="1">
      <alignment horizontal="center" vertical="center" wrapText="1"/>
    </xf>
    <xf numFmtId="0" fontId="35" fillId="0" borderId="0" xfId="5" applyFont="1" applyFill="1" applyBorder="1" applyAlignment="1">
      <alignment horizontal="center" vertical="center"/>
    </xf>
    <xf numFmtId="0" fontId="8" fillId="0" borderId="5" xfId="5" applyFont="1" applyFill="1" applyBorder="1" applyAlignment="1">
      <alignment horizontal="center" vertical="center"/>
    </xf>
    <xf numFmtId="0" fontId="8" fillId="0" borderId="6" xfId="5" applyFont="1" applyFill="1" applyBorder="1" applyAlignment="1">
      <alignment horizontal="left" vertical="center"/>
    </xf>
    <xf numFmtId="0" fontId="8" fillId="0" borderId="6" xfId="5" applyFont="1" applyFill="1" applyBorder="1" applyAlignment="1">
      <alignment horizontal="center" vertical="center" wrapText="1"/>
    </xf>
    <xf numFmtId="0" fontId="8" fillId="0" borderId="6" xfId="5" applyFont="1" applyFill="1" applyBorder="1" applyAlignment="1">
      <alignment horizontal="center" vertical="center"/>
    </xf>
    <xf numFmtId="0" fontId="36" fillId="0" borderId="6" xfId="5" applyFont="1" applyFill="1" applyBorder="1" applyAlignment="1">
      <alignment horizontal="center" vertical="center" wrapText="1"/>
    </xf>
    <xf numFmtId="168" fontId="8" fillId="0" borderId="6" xfId="5" applyNumberFormat="1" applyFont="1" applyFill="1" applyBorder="1" applyAlignment="1">
      <alignment horizontal="center" vertical="center"/>
    </xf>
    <xf numFmtId="168" fontId="8" fillId="0" borderId="11" xfId="5" applyNumberFormat="1" applyFont="1" applyFill="1" applyBorder="1" applyAlignment="1">
      <alignment horizontal="center" vertical="center"/>
    </xf>
    <xf numFmtId="0" fontId="8" fillId="0" borderId="25" xfId="5" applyFont="1" applyFill="1" applyBorder="1" applyAlignment="1">
      <alignment horizontal="center" vertical="center"/>
    </xf>
    <xf numFmtId="0" fontId="37" fillId="0" borderId="0" xfId="5" applyFont="1" applyFill="1" applyBorder="1" applyAlignment="1">
      <alignment vertical="center"/>
    </xf>
    <xf numFmtId="0" fontId="21" fillId="0" borderId="10" xfId="5" applyFont="1" applyFill="1" applyBorder="1" applyAlignment="1">
      <alignment vertical="center" wrapText="1"/>
    </xf>
    <xf numFmtId="0" fontId="24" fillId="3" borderId="5" xfId="5" applyFont="1" applyFill="1" applyBorder="1" applyAlignment="1">
      <alignment horizontal="center" vertical="center" wrapText="1"/>
    </xf>
    <xf numFmtId="0" fontId="24" fillId="0" borderId="10" xfId="5" applyFont="1" applyFill="1" applyBorder="1" applyAlignment="1">
      <alignment horizontal="center" vertical="center" wrapText="1"/>
    </xf>
    <xf numFmtId="0" fontId="24" fillId="3" borderId="11" xfId="5" applyFont="1" applyFill="1" applyBorder="1" applyAlignment="1">
      <alignment horizontal="center" vertical="center" wrapText="1"/>
    </xf>
    <xf numFmtId="165" fontId="16" fillId="0" borderId="10" xfId="1" applyFont="1" applyFill="1" applyBorder="1" applyAlignment="1">
      <alignment vertical="center"/>
    </xf>
    <xf numFmtId="0" fontId="21" fillId="0" borderId="4" xfId="5" applyFont="1" applyFill="1" applyBorder="1" applyAlignment="1">
      <alignment horizontal="center" vertical="center"/>
    </xf>
    <xf numFmtId="0" fontId="21" fillId="0" borderId="4" xfId="5" applyFont="1" applyFill="1" applyBorder="1" applyAlignment="1">
      <alignment horizontal="left" vertical="center"/>
    </xf>
    <xf numFmtId="0" fontId="18" fillId="0" borderId="4" xfId="6" applyFont="1" applyFill="1" applyBorder="1" applyAlignment="1" applyProtection="1">
      <alignment vertical="center" wrapText="1"/>
    </xf>
    <xf numFmtId="0" fontId="21" fillId="0" borderId="4" xfId="5" applyFont="1" applyFill="1" applyBorder="1" applyAlignment="1">
      <alignment horizontal="center" vertical="center" wrapText="1"/>
    </xf>
    <xf numFmtId="0" fontId="18" fillId="0" borderId="0" xfId="6" applyFont="1" applyFill="1" applyBorder="1" applyAlignment="1" applyProtection="1">
      <alignment vertical="center" wrapText="1"/>
    </xf>
    <xf numFmtId="0" fontId="18" fillId="0" borderId="6" xfId="6" applyFont="1" applyFill="1" applyBorder="1" applyAlignment="1" applyProtection="1">
      <alignment vertical="center" wrapText="1"/>
    </xf>
    <xf numFmtId="0" fontId="22" fillId="3" borderId="5" xfId="5" applyFont="1" applyFill="1" applyBorder="1" applyAlignment="1">
      <alignment horizontal="center" vertical="center"/>
    </xf>
    <xf numFmtId="0" fontId="22" fillId="3" borderId="6" xfId="5" applyFont="1" applyFill="1" applyBorder="1" applyAlignment="1">
      <alignment horizontal="center" vertical="center"/>
    </xf>
    <xf numFmtId="0" fontId="22" fillId="3" borderId="6" xfId="6" applyFont="1" applyFill="1" applyBorder="1" applyAlignment="1" applyProtection="1">
      <alignment horizontal="centerContinuous" vertical="center"/>
    </xf>
    <xf numFmtId="9" fontId="22" fillId="3" borderId="24" xfId="5" applyNumberFormat="1" applyFont="1" applyFill="1" applyBorder="1" applyAlignment="1">
      <alignment horizontal="center" vertical="center" wrapText="1"/>
    </xf>
    <xf numFmtId="1" fontId="39" fillId="3" borderId="24" xfId="5" applyNumberFormat="1" applyFont="1" applyFill="1" applyBorder="1" applyAlignment="1">
      <alignment horizontal="center" vertical="center" wrapText="1"/>
    </xf>
    <xf numFmtId="0" fontId="39" fillId="3" borderId="5" xfId="5" applyFont="1" applyFill="1" applyBorder="1" applyAlignment="1">
      <alignment horizontal="center" vertical="center"/>
    </xf>
    <xf numFmtId="1" fontId="39" fillId="0" borderId="10" xfId="5" applyNumberFormat="1" applyFont="1" applyFill="1" applyBorder="1" applyAlignment="1">
      <alignment horizontal="center" vertical="center" wrapText="1"/>
    </xf>
    <xf numFmtId="0" fontId="22" fillId="0" borderId="28" xfId="5" applyFont="1" applyFill="1" applyBorder="1" applyAlignment="1">
      <alignment horizontal="center" vertical="center" wrapText="1"/>
    </xf>
    <xf numFmtId="0" fontId="22" fillId="0" borderId="0" xfId="5" applyFont="1" applyFill="1" applyBorder="1" applyAlignment="1">
      <alignment vertical="center"/>
    </xf>
    <xf numFmtId="0" fontId="21" fillId="0" borderId="14" xfId="5" applyFont="1" applyFill="1" applyBorder="1" applyAlignment="1">
      <alignment horizontal="center" vertical="center"/>
    </xf>
    <xf numFmtId="0" fontId="21" fillId="0" borderId="15" xfId="5" applyFont="1" applyFill="1" applyBorder="1" applyAlignment="1">
      <alignment horizontal="center" vertical="center"/>
    </xf>
    <xf numFmtId="0" fontId="31" fillId="0" borderId="14" xfId="6" applyFont="1" applyFill="1" applyBorder="1" applyAlignment="1" applyProtection="1">
      <alignment vertical="center"/>
    </xf>
    <xf numFmtId="0" fontId="41" fillId="0" borderId="16" xfId="6" applyFont="1" applyFill="1" applyBorder="1" applyAlignment="1" applyProtection="1">
      <alignment vertical="center" wrapText="1"/>
    </xf>
    <xf numFmtId="9" fontId="21" fillId="0" borderId="13" xfId="5" applyNumberFormat="1" applyFont="1" applyFill="1" applyBorder="1" applyAlignment="1">
      <alignment horizontal="center" vertical="center" wrapText="1"/>
    </xf>
    <xf numFmtId="1" fontId="21" fillId="0" borderId="13" xfId="5" applyNumberFormat="1" applyFont="1" applyFill="1" applyBorder="1" applyAlignment="1">
      <alignment horizontal="center" vertical="center" wrapText="1"/>
    </xf>
    <xf numFmtId="0" fontId="18" fillId="0" borderId="14" xfId="5" applyFont="1" applyFill="1" applyBorder="1" applyAlignment="1">
      <alignment horizontal="center" vertical="center"/>
    </xf>
    <xf numFmtId="1" fontId="21" fillId="0" borderId="10" xfId="5" applyNumberFormat="1" applyFont="1" applyFill="1" applyBorder="1" applyAlignment="1">
      <alignment horizontal="center" vertical="center" wrapText="1"/>
    </xf>
    <xf numFmtId="1" fontId="21" fillId="0" borderId="12" xfId="5" applyNumberFormat="1" applyFont="1" applyFill="1" applyBorder="1" applyAlignment="1">
      <alignment horizontal="center" vertical="center" wrapText="1"/>
    </xf>
    <xf numFmtId="0" fontId="21" fillId="0" borderId="29" xfId="5" applyFont="1" applyFill="1" applyBorder="1" applyAlignment="1">
      <alignment horizontal="center" vertical="center" wrapText="1"/>
    </xf>
    <xf numFmtId="168" fontId="18" fillId="0" borderId="14" xfId="5" applyNumberFormat="1" applyFont="1" applyFill="1" applyBorder="1" applyAlignment="1">
      <alignment horizontal="center" vertical="center"/>
    </xf>
    <xf numFmtId="0" fontId="21" fillId="0" borderId="21" xfId="5" applyFont="1" applyFill="1" applyBorder="1" applyAlignment="1">
      <alignment horizontal="center" vertical="center"/>
    </xf>
    <xf numFmtId="0" fontId="21" fillId="0" borderId="23" xfId="5" applyFont="1" applyFill="1" applyBorder="1" applyAlignment="1">
      <alignment horizontal="center" vertical="center"/>
    </xf>
    <xf numFmtId="0" fontId="31" fillId="0" borderId="21" xfId="6" applyFont="1" applyFill="1" applyBorder="1" applyAlignment="1" applyProtection="1">
      <alignment vertical="center"/>
    </xf>
    <xf numFmtId="0" fontId="41" fillId="0" borderId="22" xfId="6" applyFont="1" applyFill="1" applyBorder="1" applyAlignment="1" applyProtection="1">
      <alignment vertical="center" wrapText="1"/>
    </xf>
    <xf numFmtId="9" fontId="21" fillId="0" borderId="27" xfId="5" applyNumberFormat="1" applyFont="1" applyFill="1" applyBorder="1" applyAlignment="1">
      <alignment horizontal="center" vertical="center" wrapText="1"/>
    </xf>
    <xf numFmtId="1" fontId="21" fillId="0" borderId="27" xfId="5" applyNumberFormat="1" applyFont="1" applyFill="1" applyBorder="1" applyAlignment="1">
      <alignment horizontal="center" vertical="center" wrapText="1"/>
    </xf>
    <xf numFmtId="168" fontId="18" fillId="0" borderId="27" xfId="5" applyNumberFormat="1" applyFont="1" applyFill="1" applyBorder="1" applyAlignment="1">
      <alignment horizontal="center" vertical="center"/>
    </xf>
    <xf numFmtId="0" fontId="21" fillId="0" borderId="30" xfId="5" applyFont="1" applyFill="1" applyBorder="1" applyAlignment="1">
      <alignment horizontal="center" vertical="center" wrapText="1"/>
    </xf>
    <xf numFmtId="0" fontId="18" fillId="0" borderId="0" xfId="5" applyFont="1" applyFill="1" applyBorder="1" applyAlignment="1">
      <alignment horizontal="left" vertical="center" wrapText="1"/>
    </xf>
    <xf numFmtId="0" fontId="42" fillId="0" borderId="11" xfId="5" applyFont="1" applyFill="1" applyBorder="1" applyAlignment="1">
      <alignment vertical="center"/>
    </xf>
    <xf numFmtId="0" fontId="42" fillId="0" borderId="0" xfId="5" applyFont="1" applyFill="1" applyBorder="1" applyAlignment="1">
      <alignment horizontal="left" vertical="center"/>
    </xf>
    <xf numFmtId="0" fontId="42" fillId="0" borderId="0" xfId="5" applyFont="1" applyFill="1" applyBorder="1" applyAlignment="1">
      <alignment vertical="center"/>
    </xf>
    <xf numFmtId="0" fontId="18" fillId="0" borderId="20" xfId="5" applyFont="1" applyFill="1" applyBorder="1" applyAlignment="1">
      <alignment vertical="center"/>
    </xf>
    <xf numFmtId="0" fontId="18" fillId="0" borderId="15" xfId="5" applyFont="1" applyFill="1" applyBorder="1" applyAlignment="1">
      <alignment vertical="center"/>
    </xf>
    <xf numFmtId="0" fontId="21" fillId="0" borderId="14" xfId="5" applyFont="1" applyFill="1" applyBorder="1" applyAlignment="1">
      <alignment vertical="center"/>
    </xf>
    <xf numFmtId="0" fontId="43" fillId="0" borderId="16" xfId="5" applyFont="1" applyBorder="1" applyAlignment="1">
      <alignment vertical="center"/>
    </xf>
    <xf numFmtId="0" fontId="43" fillId="0" borderId="15" xfId="5" applyFont="1" applyBorder="1" applyAlignment="1">
      <alignment vertical="center"/>
    </xf>
    <xf numFmtId="0" fontId="18" fillId="0" borderId="9" xfId="5" applyFont="1" applyFill="1" applyBorder="1" applyAlignment="1">
      <alignment vertical="center"/>
    </xf>
    <xf numFmtId="0" fontId="44" fillId="0" borderId="0" xfId="5" applyFont="1" applyFill="1" applyBorder="1" applyAlignment="1">
      <alignment horizontal="left" vertical="center"/>
    </xf>
    <xf numFmtId="0" fontId="31" fillId="0" borderId="0" xfId="6" applyFont="1" applyFill="1" applyBorder="1" applyAlignment="1" applyProtection="1">
      <alignment vertical="center"/>
    </xf>
    <xf numFmtId="0" fontId="41" fillId="0" borderId="0" xfId="6" applyFont="1" applyFill="1" applyBorder="1" applyAlignment="1" applyProtection="1">
      <alignment vertical="center" wrapText="1"/>
    </xf>
    <xf numFmtId="168" fontId="21" fillId="0" borderId="0" xfId="5" applyNumberFormat="1" applyFont="1" applyFill="1" applyBorder="1" applyAlignment="1">
      <alignment horizontal="center" vertical="center" wrapText="1"/>
    </xf>
    <xf numFmtId="0" fontId="18" fillId="0" borderId="0" xfId="5" quotePrefix="1" applyFont="1" applyFill="1" applyBorder="1" applyAlignment="1">
      <alignment horizontal="left" vertical="center" wrapText="1"/>
    </xf>
    <xf numFmtId="0" fontId="21" fillId="0" borderId="0" xfId="5" quotePrefix="1" applyFont="1" applyFill="1" applyBorder="1" applyAlignment="1">
      <alignment horizontal="left" vertical="center"/>
    </xf>
    <xf numFmtId="0" fontId="18" fillId="0" borderId="0" xfId="5" applyFont="1" applyFill="1" applyBorder="1" applyAlignment="1">
      <alignment vertical="center" wrapText="1"/>
    </xf>
    <xf numFmtId="0" fontId="18" fillId="0" borderId="0" xfId="5" quotePrefix="1" applyFont="1" applyFill="1" applyBorder="1" applyAlignment="1">
      <alignment vertical="center" wrapText="1"/>
    </xf>
    <xf numFmtId="0" fontId="3" fillId="0" borderId="0" xfId="4" applyFont="1" applyAlignment="1">
      <alignment vertical="center"/>
    </xf>
    <xf numFmtId="0" fontId="48" fillId="0" borderId="0" xfId="0" applyFont="1" applyAlignment="1">
      <alignment horizontal="centerContinuous" vertical="center"/>
    </xf>
    <xf numFmtId="0" fontId="2" fillId="0" borderId="0" xfId="4" applyAlignment="1">
      <alignment vertical="center"/>
    </xf>
    <xf numFmtId="0" fontId="3" fillId="0" borderId="0" xfId="4" applyFont="1" applyAlignment="1">
      <alignment horizontal="centerContinuous" vertical="center"/>
    </xf>
    <xf numFmtId="0" fontId="3" fillId="0" borderId="0" xfId="4" applyFont="1" applyAlignment="1">
      <alignment horizontal="left" vertical="center"/>
    </xf>
    <xf numFmtId="0" fontId="49" fillId="0" borderId="0" xfId="0" applyFont="1" applyAlignment="1">
      <alignment horizontal="centerContinuous" vertical="center"/>
    </xf>
    <xf numFmtId="0" fontId="3" fillId="0" borderId="0" xfId="0" applyFont="1" applyAlignment="1">
      <alignment horizontal="centerContinuous" vertical="center"/>
    </xf>
    <xf numFmtId="0" fontId="50" fillId="2" borderId="24" xfId="0" applyFont="1" applyFill="1" applyBorder="1" applyAlignment="1">
      <alignment horizontal="centerContinuous" vertical="center"/>
    </xf>
    <xf numFmtId="0" fontId="51" fillId="0" borderId="0" xfId="4" applyFont="1" applyAlignment="1">
      <alignment horizontal="center" vertical="center"/>
    </xf>
    <xf numFmtId="0" fontId="13" fillId="2" borderId="32" xfId="0" applyFont="1" applyFill="1" applyBorder="1" applyAlignment="1">
      <alignment horizontal="center" vertical="center"/>
    </xf>
    <xf numFmtId="0" fontId="13" fillId="2" borderId="33" xfId="0" applyFont="1" applyFill="1" applyBorder="1" applyAlignment="1">
      <alignment horizontal="center" vertical="center"/>
    </xf>
    <xf numFmtId="0" fontId="13" fillId="2" borderId="34" xfId="0" applyFont="1" applyFill="1" applyBorder="1" applyAlignment="1">
      <alignment horizontal="center" vertical="center"/>
    </xf>
    <xf numFmtId="0" fontId="13" fillId="0" borderId="0" xfId="4" applyFont="1" applyAlignment="1">
      <alignment vertical="center"/>
    </xf>
    <xf numFmtId="164" fontId="52" fillId="5" borderId="32" xfId="4" applyNumberFormat="1" applyFont="1" applyFill="1" applyBorder="1" applyAlignment="1">
      <alignment horizontal="center" vertical="center"/>
    </xf>
    <xf numFmtId="164" fontId="52" fillId="5" borderId="33" xfId="4" applyNumberFormat="1" applyFont="1" applyFill="1" applyBorder="1" applyAlignment="1">
      <alignment horizontal="center" vertical="center"/>
    </xf>
    <xf numFmtId="164" fontId="52" fillId="5" borderId="34" xfId="4" applyNumberFormat="1" applyFont="1" applyFill="1" applyBorder="1" applyAlignment="1">
      <alignment horizontal="center" vertical="center"/>
    </xf>
    <xf numFmtId="166" fontId="52" fillId="5" borderId="34" xfId="8" applyNumberFormat="1" applyFont="1" applyFill="1" applyBorder="1" applyAlignment="1">
      <alignment horizontal="center" vertical="center"/>
    </xf>
    <xf numFmtId="0" fontId="53" fillId="0" borderId="0" xfId="4" applyFont="1" applyAlignment="1">
      <alignment horizontal="center" vertical="center"/>
    </xf>
    <xf numFmtId="0" fontId="12" fillId="2" borderId="36" xfId="4" applyFont="1" applyFill="1" applyBorder="1" applyAlignment="1">
      <alignment horizontal="left" vertical="center"/>
    </xf>
    <xf numFmtId="0" fontId="12" fillId="2" borderId="24" xfId="4" applyFont="1" applyFill="1" applyBorder="1" applyAlignment="1">
      <alignment vertical="center"/>
    </xf>
    <xf numFmtId="164" fontId="12" fillId="2" borderId="32" xfId="4" applyNumberFormat="1" applyFont="1" applyFill="1" applyBorder="1" applyAlignment="1">
      <alignment vertical="center"/>
    </xf>
    <xf numFmtId="164" fontId="12" fillId="2" borderId="33" xfId="4" applyNumberFormat="1" applyFont="1" applyFill="1" applyBorder="1" applyAlignment="1">
      <alignment vertical="center"/>
    </xf>
    <xf numFmtId="164" fontId="12" fillId="2" borderId="34" xfId="4" applyNumberFormat="1" applyFont="1" applyFill="1" applyBorder="1" applyAlignment="1">
      <alignment vertical="center"/>
    </xf>
    <xf numFmtId="9" fontId="12" fillId="2" borderId="24" xfId="8" applyFont="1" applyFill="1" applyBorder="1" applyAlignment="1">
      <alignment horizontal="center" vertical="center"/>
    </xf>
    <xf numFmtId="0" fontId="54" fillId="0" borderId="0" xfId="4" applyFont="1" applyAlignment="1">
      <alignment vertical="center"/>
    </xf>
    <xf numFmtId="0" fontId="12" fillId="7" borderId="36" xfId="4" applyFont="1" applyFill="1" applyBorder="1" applyAlignment="1">
      <alignment horizontal="left" vertical="center" indent="1"/>
    </xf>
    <xf numFmtId="0" fontId="12" fillId="7" borderId="24" xfId="0" applyFont="1" applyFill="1" applyBorder="1" applyAlignment="1">
      <alignment vertical="center"/>
    </xf>
    <xf numFmtId="164" fontId="12" fillId="7" borderId="32" xfId="4" applyNumberFormat="1" applyFont="1" applyFill="1" applyBorder="1" applyAlignment="1">
      <alignment vertical="center"/>
    </xf>
    <xf numFmtId="164" fontId="12" fillId="7" borderId="33" xfId="4" applyNumberFormat="1" applyFont="1" applyFill="1" applyBorder="1" applyAlignment="1">
      <alignment vertical="center"/>
    </xf>
    <xf numFmtId="164" fontId="12" fillId="7" borderId="34" xfId="4" applyNumberFormat="1" applyFont="1" applyFill="1" applyBorder="1" applyAlignment="1">
      <alignment vertical="center"/>
    </xf>
    <xf numFmtId="9" fontId="12" fillId="7" borderId="24" xfId="8" applyFont="1" applyFill="1" applyBorder="1" applyAlignment="1">
      <alignment horizontal="center" vertical="center"/>
    </xf>
    <xf numFmtId="0" fontId="55" fillId="0" borderId="0" xfId="4" applyFont="1" applyAlignment="1">
      <alignment vertical="center"/>
    </xf>
    <xf numFmtId="0" fontId="13" fillId="0" borderId="37" xfId="4" applyFont="1" applyBorder="1" applyAlignment="1">
      <alignment horizontal="center" vertical="center"/>
    </xf>
    <xf numFmtId="0" fontId="13" fillId="0" borderId="38" xfId="4" applyFont="1" applyBorder="1" applyAlignment="1">
      <alignment vertical="center"/>
    </xf>
    <xf numFmtId="164" fontId="13" fillId="0" borderId="39" xfId="4" applyNumberFormat="1" applyFont="1" applyBorder="1" applyAlignment="1">
      <alignment vertical="center"/>
    </xf>
    <xf numFmtId="164" fontId="13" fillId="0" borderId="40" xfId="4" applyNumberFormat="1" applyFont="1" applyBorder="1" applyAlignment="1">
      <alignment vertical="center"/>
    </xf>
    <xf numFmtId="164" fontId="13" fillId="0" borderId="41" xfId="4" applyNumberFormat="1" applyFont="1" applyBorder="1" applyAlignment="1">
      <alignment vertical="center"/>
    </xf>
    <xf numFmtId="164" fontId="13" fillId="0" borderId="0" xfId="4" applyNumberFormat="1" applyFont="1" applyAlignment="1">
      <alignment vertical="center"/>
    </xf>
    <xf numFmtId="0" fontId="13" fillId="0" borderId="42" xfId="4" applyFont="1" applyBorder="1" applyAlignment="1">
      <alignment horizontal="center" vertical="center"/>
    </xf>
    <xf numFmtId="0" fontId="13" fillId="0" borderId="43" xfId="4" applyFont="1" applyBorder="1" applyAlignment="1">
      <alignment vertical="center"/>
    </xf>
    <xf numFmtId="164" fontId="13" fillId="0" borderId="44" xfId="4" applyNumberFormat="1" applyFont="1" applyBorder="1" applyAlignment="1">
      <alignment vertical="center"/>
    </xf>
    <xf numFmtId="164" fontId="13" fillId="0" borderId="45" xfId="4" applyNumberFormat="1" applyFont="1" applyBorder="1" applyAlignment="1">
      <alignment vertical="center"/>
    </xf>
    <xf numFmtId="164" fontId="13" fillId="0" borderId="46" xfId="4" applyNumberFormat="1" applyFont="1" applyBorder="1" applyAlignment="1">
      <alignment vertical="center"/>
    </xf>
    <xf numFmtId="3" fontId="17" fillId="6" borderId="0" xfId="9" applyNumberFormat="1" applyFont="1" applyFill="1" applyAlignment="1">
      <alignment horizontal="centerContinuous" vertical="center"/>
    </xf>
    <xf numFmtId="0" fontId="45" fillId="0" borderId="0" xfId="5" applyFont="1" applyFill="1" applyBorder="1" applyAlignment="1">
      <alignment horizontal="center" vertical="center"/>
    </xf>
    <xf numFmtId="0" fontId="45" fillId="0" borderId="0" xfId="5" applyFont="1" applyFill="1" applyBorder="1" applyAlignment="1">
      <alignment horizontal="left" vertical="center"/>
    </xf>
    <xf numFmtId="0" fontId="56" fillId="0" borderId="0" xfId="5" applyFont="1" applyFill="1" applyBorder="1" applyAlignment="1">
      <alignment vertical="center"/>
    </xf>
    <xf numFmtId="0" fontId="57" fillId="0" borderId="0" xfId="5" applyFont="1" applyFill="1" applyBorder="1" applyAlignment="1">
      <alignment vertical="center"/>
    </xf>
    <xf numFmtId="0" fontId="47" fillId="0" borderId="0" xfId="5" applyFont="1" applyFill="1" applyBorder="1" applyAlignment="1">
      <alignment horizontal="center" vertical="center"/>
    </xf>
    <xf numFmtId="0" fontId="47" fillId="0" borderId="0" xfId="5" applyFont="1" applyFill="1" applyBorder="1" applyAlignment="1">
      <alignment vertical="center"/>
    </xf>
    <xf numFmtId="0" fontId="12" fillId="2" borderId="12" xfId="4" applyFont="1" applyFill="1" applyBorder="1" applyAlignment="1">
      <alignment horizontal="left" vertical="center"/>
    </xf>
    <xf numFmtId="0" fontId="12" fillId="2" borderId="13" xfId="4" applyFont="1" applyFill="1" applyBorder="1" applyAlignment="1">
      <alignment horizontal="center" vertical="center"/>
    </xf>
    <xf numFmtId="0" fontId="12" fillId="2" borderId="14" xfId="4" applyFont="1" applyFill="1" applyBorder="1" applyAlignment="1">
      <alignment horizontal="left" vertical="center"/>
    </xf>
    <xf numFmtId="0" fontId="12" fillId="2" borderId="15" xfId="4" applyFont="1" applyFill="1" applyBorder="1" applyAlignment="1">
      <alignment horizontal="left" vertical="center"/>
    </xf>
    <xf numFmtId="0" fontId="12" fillId="2" borderId="13" xfId="4" applyFont="1" applyFill="1" applyBorder="1" applyAlignment="1">
      <alignment horizontal="left" vertical="center"/>
    </xf>
    <xf numFmtId="9" fontId="12" fillId="2" borderId="13" xfId="2" applyFont="1" applyFill="1" applyBorder="1" applyAlignment="1">
      <alignment horizontal="center" vertical="center"/>
    </xf>
    <xf numFmtId="0" fontId="12" fillId="2" borderId="16" xfId="4" applyFont="1" applyFill="1" applyBorder="1" applyAlignment="1">
      <alignment horizontal="left" vertical="center"/>
    </xf>
    <xf numFmtId="0" fontId="52" fillId="5" borderId="35" xfId="4" applyFont="1" applyFill="1" applyBorder="1" applyAlignment="1">
      <alignment horizontal="center" vertical="center"/>
    </xf>
    <xf numFmtId="0" fontId="52" fillId="5" borderId="11" xfId="4" applyFont="1" applyFill="1" applyBorder="1" applyAlignment="1">
      <alignment horizontal="center" vertical="center"/>
    </xf>
    <xf numFmtId="0" fontId="48" fillId="0" borderId="0" xfId="0" applyFont="1" applyAlignment="1">
      <alignment horizontal="center" vertical="center"/>
    </xf>
    <xf numFmtId="0" fontId="12" fillId="2" borderId="2" xfId="4" applyFont="1" applyFill="1" applyBorder="1" applyAlignment="1">
      <alignment horizontal="center" vertical="center"/>
    </xf>
    <xf numFmtId="0" fontId="12" fillId="2" borderId="3" xfId="4" applyFont="1" applyFill="1" applyBorder="1" applyAlignment="1">
      <alignment horizontal="center" vertical="center"/>
    </xf>
    <xf numFmtId="0" fontId="12" fillId="2" borderId="31" xfId="4" applyFont="1" applyFill="1" applyBorder="1" applyAlignment="1">
      <alignment horizontal="center" vertical="center"/>
    </xf>
    <xf numFmtId="0" fontId="12" fillId="2" borderId="26" xfId="4" applyFont="1" applyFill="1" applyBorder="1" applyAlignment="1">
      <alignment horizontal="center" vertical="center"/>
    </xf>
    <xf numFmtId="0" fontId="12" fillId="2" borderId="8" xfId="4" applyFont="1" applyFill="1" applyBorder="1" applyAlignment="1">
      <alignment horizontal="center" vertical="center"/>
    </xf>
    <xf numFmtId="0" fontId="12" fillId="2" borderId="9" xfId="4" applyFont="1" applyFill="1" applyBorder="1" applyAlignment="1">
      <alignment horizontal="center" vertical="center"/>
    </xf>
    <xf numFmtId="0" fontId="12" fillId="2" borderId="24" xfId="4" applyFont="1" applyFill="1" applyBorder="1" applyAlignment="1">
      <alignment horizontal="center" vertical="center" wrapText="1"/>
    </xf>
    <xf numFmtId="0" fontId="12" fillId="2" borderId="24" xfId="4" applyFont="1" applyFill="1" applyBorder="1" applyAlignment="1">
      <alignment horizontal="center" vertical="center"/>
    </xf>
    <xf numFmtId="0" fontId="12" fillId="2" borderId="24" xfId="0" applyFont="1" applyFill="1" applyBorder="1" applyAlignment="1">
      <alignment horizontal="center" vertical="center"/>
    </xf>
    <xf numFmtId="0" fontId="14" fillId="0" borderId="0" xfId="3" applyFont="1" applyAlignment="1">
      <alignment vertical="center" wrapText="1"/>
    </xf>
    <xf numFmtId="0" fontId="3" fillId="0" borderId="0" xfId="3" applyFont="1" applyAlignment="1">
      <alignment vertical="center" wrapText="1"/>
    </xf>
    <xf numFmtId="0" fontId="6" fillId="3" borderId="1" xfId="3" applyFont="1" applyFill="1" applyBorder="1" applyAlignment="1">
      <alignment horizontal="center" vertical="center" wrapText="1"/>
    </xf>
    <xf numFmtId="0" fontId="3" fillId="3" borderId="7" xfId="3" applyFont="1" applyFill="1" applyBorder="1" applyAlignment="1">
      <alignment horizontal="center" vertical="center" wrapText="1"/>
    </xf>
    <xf numFmtId="0" fontId="6" fillId="4" borderId="2" xfId="3" applyFont="1" applyFill="1" applyBorder="1" applyAlignment="1">
      <alignment horizontal="center" vertical="center" wrapText="1"/>
    </xf>
    <xf numFmtId="0" fontId="6" fillId="4" borderId="3" xfId="3" applyFont="1" applyFill="1" applyBorder="1" applyAlignment="1">
      <alignment horizontal="center" vertical="center" wrapText="1"/>
    </xf>
    <xf numFmtId="0" fontId="6" fillId="4" borderId="8" xfId="3" applyFont="1" applyFill="1" applyBorder="1" applyAlignment="1">
      <alignment horizontal="center" vertical="center" wrapText="1"/>
    </xf>
    <xf numFmtId="0" fontId="6" fillId="4" borderId="9" xfId="3" applyFont="1" applyFill="1" applyBorder="1" applyAlignment="1">
      <alignment horizontal="center" vertical="center" wrapText="1"/>
    </xf>
    <xf numFmtId="0" fontId="9" fillId="0" borderId="0" xfId="3" applyFont="1" applyAlignment="1">
      <alignment horizontal="center" vertical="center"/>
    </xf>
    <xf numFmtId="0" fontId="6" fillId="0" borderId="0" xfId="3" applyFont="1" applyAlignment="1">
      <alignment horizontal="center" vertical="center"/>
    </xf>
    <xf numFmtId="0" fontId="5" fillId="0" borderId="0" xfId="3" applyFont="1" applyAlignment="1">
      <alignment horizontal="center" vertical="center"/>
    </xf>
    <xf numFmtId="0" fontId="8" fillId="0" borderId="0" xfId="3" applyFont="1" applyAlignment="1">
      <alignment horizontal="center" vertical="center"/>
    </xf>
    <xf numFmtId="0" fontId="6" fillId="2" borderId="1" xfId="3" applyFont="1" applyFill="1" applyBorder="1" applyAlignment="1">
      <alignment horizontal="center" vertical="center" wrapText="1"/>
    </xf>
    <xf numFmtId="0" fontId="6" fillId="2" borderId="7" xfId="3" applyFont="1" applyFill="1" applyBorder="1" applyAlignment="1">
      <alignment horizontal="center" vertical="center" wrapText="1"/>
    </xf>
    <xf numFmtId="0" fontId="6" fillId="2" borderId="2" xfId="3" applyFont="1" applyFill="1" applyBorder="1" applyAlignment="1">
      <alignment horizontal="center" vertical="center" wrapText="1"/>
    </xf>
    <xf numFmtId="0" fontId="6" fillId="2" borderId="8" xfId="3" applyFont="1" applyFill="1" applyBorder="1" applyAlignment="1">
      <alignment horizontal="center" vertical="center" wrapText="1"/>
    </xf>
    <xf numFmtId="0" fontId="6" fillId="2" borderId="3" xfId="3" applyFont="1" applyFill="1" applyBorder="1" applyAlignment="1">
      <alignment horizontal="center" vertical="center" wrapText="1"/>
    </xf>
    <xf numFmtId="0" fontId="6" fillId="2" borderId="9" xfId="3" applyFont="1" applyFill="1" applyBorder="1" applyAlignment="1">
      <alignment horizontal="center" vertical="center" wrapText="1"/>
    </xf>
    <xf numFmtId="0" fontId="6" fillId="3" borderId="3" xfId="3" applyFont="1" applyFill="1" applyBorder="1" applyAlignment="1">
      <alignment horizontal="center" vertical="center" wrapText="1"/>
    </xf>
    <xf numFmtId="0" fontId="6" fillId="3" borderId="9" xfId="3" applyFont="1" applyFill="1" applyBorder="1" applyAlignment="1">
      <alignment horizontal="center" vertical="center" wrapText="1"/>
    </xf>
    <xf numFmtId="0" fontId="18" fillId="0" borderId="0" xfId="5" applyFont="1" applyFill="1" applyBorder="1" applyAlignment="1">
      <alignment horizontal="left" vertical="center" wrapText="1"/>
    </xf>
    <xf numFmtId="0" fontId="18" fillId="0" borderId="0" xfId="5" quotePrefix="1" applyFont="1" applyFill="1" applyBorder="1" applyAlignment="1">
      <alignment horizontal="left" vertical="center" wrapText="1"/>
    </xf>
    <xf numFmtId="0" fontId="21" fillId="0" borderId="0" xfId="5" quotePrefix="1" applyFont="1" applyFill="1" applyBorder="1" applyAlignment="1">
      <alignment horizontal="left" vertical="center" wrapText="1"/>
    </xf>
    <xf numFmtId="0" fontId="21" fillId="0" borderId="0" xfId="5" applyFont="1" applyFill="1" applyBorder="1" applyAlignment="1">
      <alignment horizontal="left" vertical="center" wrapText="1"/>
    </xf>
    <xf numFmtId="0" fontId="21" fillId="0" borderId="8" xfId="5" applyFont="1" applyFill="1" applyBorder="1" applyAlignment="1">
      <alignment horizontal="left" vertical="center"/>
    </xf>
    <xf numFmtId="0" fontId="21" fillId="0" borderId="17" xfId="5" applyFont="1" applyFill="1" applyBorder="1" applyAlignment="1">
      <alignment horizontal="left" vertical="center"/>
    </xf>
    <xf numFmtId="0" fontId="21" fillId="0" borderId="9" xfId="5" applyFont="1" applyFill="1" applyBorder="1" applyAlignment="1">
      <alignment horizontal="left" vertical="center"/>
    </xf>
    <xf numFmtId="0" fontId="21" fillId="0" borderId="14" xfId="5" applyFont="1" applyFill="1" applyBorder="1" applyAlignment="1">
      <alignment horizontal="center" vertical="center"/>
    </xf>
    <xf numFmtId="0" fontId="21" fillId="0" borderId="16" xfId="5" applyFont="1" applyFill="1" applyBorder="1" applyAlignment="1">
      <alignment horizontal="center" vertical="center"/>
    </xf>
    <xf numFmtId="0" fontId="21" fillId="0" borderId="15" xfId="5" applyFont="1" applyFill="1" applyBorder="1" applyAlignment="1">
      <alignment horizontal="center" vertical="center"/>
    </xf>
    <xf numFmtId="0" fontId="18" fillId="0" borderId="16" xfId="5" applyFont="1" applyFill="1" applyBorder="1" applyAlignment="1">
      <alignment horizontal="center" vertical="center"/>
    </xf>
    <xf numFmtId="0" fontId="18" fillId="0" borderId="15" xfId="5" applyFont="1" applyFill="1" applyBorder="1" applyAlignment="1">
      <alignment horizontal="center" vertical="center"/>
    </xf>
    <xf numFmtId="0" fontId="21" fillId="0" borderId="18" xfId="5" applyFont="1" applyFill="1" applyBorder="1" applyAlignment="1">
      <alignment horizontal="center" vertical="center"/>
    </xf>
    <xf numFmtId="0" fontId="21" fillId="0" borderId="19" xfId="5" applyFont="1" applyFill="1" applyBorder="1" applyAlignment="1">
      <alignment horizontal="center" vertical="center"/>
    </xf>
    <xf numFmtId="0" fontId="21" fillId="0" borderId="20" xfId="5" applyFont="1" applyFill="1" applyBorder="1" applyAlignment="1">
      <alignment horizontal="center" vertical="center"/>
    </xf>
    <xf numFmtId="0" fontId="18" fillId="0" borderId="19" xfId="5" applyFont="1" applyFill="1" applyBorder="1" applyAlignment="1">
      <alignment horizontal="center" vertical="center"/>
    </xf>
    <xf numFmtId="0" fontId="18" fillId="0" borderId="20" xfId="5" applyFont="1" applyFill="1" applyBorder="1" applyAlignment="1">
      <alignment horizontal="center" vertical="center"/>
    </xf>
    <xf numFmtId="168" fontId="18" fillId="0" borderId="13" xfId="5" applyNumberFormat="1" applyFont="1" applyFill="1" applyBorder="1" applyAlignment="1">
      <alignment horizontal="center" vertical="center"/>
    </xf>
    <xf numFmtId="165" fontId="21" fillId="3" borderId="24" xfId="1" applyFont="1" applyFill="1" applyBorder="1" applyAlignment="1">
      <alignment horizontal="center" vertical="center" wrapText="1"/>
    </xf>
    <xf numFmtId="165" fontId="21" fillId="3" borderId="24" xfId="1" applyFont="1" applyFill="1" applyBorder="1" applyAlignment="1">
      <alignment horizontal="center" vertical="center"/>
    </xf>
    <xf numFmtId="165" fontId="40" fillId="0" borderId="2" xfId="1" applyFont="1" applyFill="1" applyBorder="1" applyAlignment="1">
      <alignment horizontal="center" vertical="center"/>
    </xf>
    <xf numFmtId="165" fontId="40" fillId="0" borderId="4" xfId="1" applyFont="1" applyFill="1" applyBorder="1" applyAlignment="1">
      <alignment horizontal="center" vertical="center"/>
    </xf>
    <xf numFmtId="165" fontId="40" fillId="0" borderId="3" xfId="1" applyFont="1" applyFill="1" applyBorder="1" applyAlignment="1">
      <alignment horizontal="center" vertical="center"/>
    </xf>
    <xf numFmtId="165" fontId="40" fillId="0" borderId="8" xfId="1" applyFont="1" applyFill="1" applyBorder="1" applyAlignment="1">
      <alignment horizontal="center" vertical="center"/>
    </xf>
    <xf numFmtId="165" fontId="40" fillId="0" borderId="17" xfId="1" applyFont="1" applyFill="1" applyBorder="1" applyAlignment="1">
      <alignment horizontal="center" vertical="center"/>
    </xf>
    <xf numFmtId="165" fontId="40" fillId="0" borderId="9" xfId="1" applyFont="1" applyFill="1" applyBorder="1" applyAlignment="1">
      <alignment horizontal="center" vertical="center"/>
    </xf>
    <xf numFmtId="168" fontId="18" fillId="0" borderId="27" xfId="5" applyNumberFormat="1" applyFont="1" applyFill="1" applyBorder="1" applyAlignment="1">
      <alignment horizontal="center" vertical="center"/>
    </xf>
    <xf numFmtId="0" fontId="42" fillId="0" borderId="24" xfId="5" applyFont="1" applyFill="1" applyBorder="1" applyAlignment="1">
      <alignment horizontal="center" vertical="center"/>
    </xf>
    <xf numFmtId="0" fontId="21" fillId="0" borderId="11" xfId="5" applyFont="1" applyFill="1" applyBorder="1" applyAlignment="1">
      <alignment horizontal="center" vertical="center" wrapText="1"/>
    </xf>
    <xf numFmtId="0" fontId="21" fillId="0" borderId="11" xfId="5" applyFont="1" applyFill="1" applyBorder="1" applyAlignment="1">
      <alignment horizontal="center" vertical="center"/>
    </xf>
    <xf numFmtId="0" fontId="24" fillId="3" borderId="5" xfId="5" applyFont="1" applyFill="1" applyBorder="1" applyAlignment="1">
      <alignment horizontal="center" vertical="center" wrapText="1"/>
    </xf>
    <xf numFmtId="0" fontId="24" fillId="3" borderId="11" xfId="5" applyFont="1" applyFill="1" applyBorder="1" applyAlignment="1">
      <alignment horizontal="center" vertical="center" wrapText="1"/>
    </xf>
    <xf numFmtId="0" fontId="39" fillId="3" borderId="24" xfId="5" applyFont="1" applyFill="1" applyBorder="1" applyAlignment="1">
      <alignment horizontal="center" vertical="center"/>
    </xf>
    <xf numFmtId="0" fontId="18" fillId="0" borderId="12" xfId="5" applyFont="1" applyFill="1" applyBorder="1" applyAlignment="1">
      <alignment horizontal="center" vertical="center"/>
    </xf>
    <xf numFmtId="0" fontId="21" fillId="3" borderId="2" xfId="5" applyFont="1" applyFill="1" applyBorder="1" applyAlignment="1">
      <alignment horizontal="center" vertical="center" wrapText="1"/>
    </xf>
    <xf numFmtId="0" fontId="21" fillId="3" borderId="4" xfId="5" applyFont="1" applyFill="1" applyBorder="1" applyAlignment="1">
      <alignment horizontal="center" vertical="center" wrapText="1"/>
    </xf>
    <xf numFmtId="0" fontId="21" fillId="3" borderId="3" xfId="5" applyFont="1" applyFill="1" applyBorder="1" applyAlignment="1">
      <alignment horizontal="center" vertical="center" wrapText="1"/>
    </xf>
    <xf numFmtId="0" fontId="21" fillId="3" borderId="8" xfId="5" applyFont="1" applyFill="1" applyBorder="1" applyAlignment="1">
      <alignment horizontal="center" vertical="center" wrapText="1"/>
    </xf>
    <xf numFmtId="0" fontId="21" fillId="3" borderId="17" xfId="5" applyFont="1" applyFill="1" applyBorder="1" applyAlignment="1">
      <alignment horizontal="center" vertical="center" wrapText="1"/>
    </xf>
    <xf numFmtId="0" fontId="21" fillId="3" borderId="9" xfId="5" applyFont="1" applyFill="1" applyBorder="1" applyAlignment="1">
      <alignment horizontal="center" vertical="center" wrapText="1"/>
    </xf>
    <xf numFmtId="0" fontId="21" fillId="3" borderId="24" xfId="5" applyFont="1" applyFill="1" applyBorder="1" applyAlignment="1">
      <alignment horizontal="center" vertical="center"/>
    </xf>
    <xf numFmtId="0" fontId="21" fillId="3" borderId="2" xfId="5" applyFont="1" applyFill="1" applyBorder="1" applyAlignment="1">
      <alignment horizontal="center" vertical="center"/>
    </xf>
    <xf numFmtId="0" fontId="21" fillId="3" borderId="3" xfId="5" applyFont="1" applyFill="1" applyBorder="1" applyAlignment="1">
      <alignment horizontal="center" vertical="center"/>
    </xf>
    <xf numFmtId="0" fontId="21" fillId="3" borderId="8" xfId="5" applyFont="1" applyFill="1" applyBorder="1" applyAlignment="1">
      <alignment horizontal="center" vertical="center"/>
    </xf>
    <xf numFmtId="0" fontId="21" fillId="3" borderId="9" xfId="5" applyFont="1" applyFill="1" applyBorder="1" applyAlignment="1">
      <alignment horizontal="center" vertical="center"/>
    </xf>
    <xf numFmtId="0" fontId="21" fillId="3" borderId="24" xfId="5" applyFont="1" applyFill="1" applyBorder="1" applyAlignment="1">
      <alignment horizontal="center" vertical="center" wrapText="1"/>
    </xf>
    <xf numFmtId="0" fontId="21" fillId="3" borderId="5" xfId="5" applyFont="1" applyFill="1" applyBorder="1" applyAlignment="1">
      <alignment horizontal="center" vertical="center" wrapText="1"/>
    </xf>
    <xf numFmtId="0" fontId="21" fillId="3" borderId="6" xfId="5" applyFont="1" applyFill="1" applyBorder="1" applyAlignment="1">
      <alignment horizontal="center" vertical="center" wrapText="1"/>
    </xf>
    <xf numFmtId="0" fontId="21" fillId="3" borderId="11" xfId="5" applyFont="1" applyFill="1" applyBorder="1" applyAlignment="1">
      <alignment horizontal="center" vertical="center" wrapText="1"/>
    </xf>
    <xf numFmtId="0" fontId="31" fillId="0" borderId="21" xfId="5" applyFont="1" applyFill="1" applyBorder="1" applyAlignment="1">
      <alignment horizontal="left" vertical="center" wrapText="1" shrinkToFit="1"/>
    </xf>
    <xf numFmtId="0" fontId="31" fillId="0" borderId="22" xfId="5" applyFont="1" applyFill="1" applyBorder="1" applyAlignment="1">
      <alignment horizontal="left" vertical="center" wrapText="1" shrinkToFit="1"/>
    </xf>
    <xf numFmtId="0" fontId="31" fillId="0" borderId="23" xfId="5" applyFont="1" applyFill="1" applyBorder="1" applyAlignment="1">
      <alignment horizontal="left" vertical="center" wrapText="1" shrinkToFit="1"/>
    </xf>
    <xf numFmtId="0" fontId="31" fillId="0" borderId="14" xfId="5" applyFont="1" applyFill="1" applyBorder="1" applyAlignment="1">
      <alignment horizontal="left" vertical="center" wrapText="1"/>
    </xf>
    <xf numFmtId="0" fontId="31" fillId="0" borderId="16" xfId="5" applyFont="1" applyFill="1" applyBorder="1" applyAlignment="1">
      <alignment horizontal="left" vertical="center" wrapText="1"/>
    </xf>
    <xf numFmtId="0" fontId="31" fillId="0" borderId="15" xfId="5" applyFont="1" applyFill="1" applyBorder="1" applyAlignment="1">
      <alignment horizontal="left" vertical="center" wrapText="1"/>
    </xf>
    <xf numFmtId="0" fontId="31" fillId="0" borderId="21" xfId="5" applyFont="1" applyFill="1" applyBorder="1" applyAlignment="1">
      <alignment horizontal="left" vertical="center" wrapText="1"/>
    </xf>
    <xf numFmtId="0" fontId="31" fillId="0" borderId="22" xfId="5" applyFont="1" applyFill="1" applyBorder="1" applyAlignment="1">
      <alignment horizontal="left" vertical="center" wrapText="1"/>
    </xf>
    <xf numFmtId="0" fontId="31" fillId="0" borderId="23" xfId="5" applyFont="1" applyFill="1" applyBorder="1" applyAlignment="1">
      <alignment horizontal="left" vertical="center" wrapText="1"/>
    </xf>
    <xf numFmtId="0" fontId="34" fillId="0" borderId="18" xfId="5" applyFont="1" applyFill="1" applyBorder="1" applyAlignment="1">
      <alignment horizontal="left" vertical="center" wrapText="1"/>
    </xf>
    <xf numFmtId="0" fontId="34" fillId="0" borderId="19" xfId="5" applyFont="1" applyFill="1" applyBorder="1" applyAlignment="1">
      <alignment horizontal="left" vertical="center" wrapText="1"/>
    </xf>
    <xf numFmtId="0" fontId="34" fillId="0" borderId="20" xfId="5" applyFont="1" applyFill="1" applyBorder="1" applyAlignment="1">
      <alignment horizontal="left" vertical="center" wrapText="1"/>
    </xf>
    <xf numFmtId="0" fontId="31" fillId="0" borderId="18" xfId="5" applyFont="1" applyFill="1" applyBorder="1" applyAlignment="1">
      <alignment horizontal="left" vertical="center" wrapText="1"/>
    </xf>
    <xf numFmtId="0" fontId="31" fillId="0" borderId="19" xfId="5" applyFont="1" applyFill="1" applyBorder="1" applyAlignment="1">
      <alignment horizontal="left" vertical="center" wrapText="1"/>
    </xf>
    <xf numFmtId="0" fontId="31" fillId="0" borderId="20" xfId="5" applyFont="1" applyFill="1" applyBorder="1" applyAlignment="1">
      <alignment horizontal="left" vertical="center" wrapText="1"/>
    </xf>
    <xf numFmtId="0" fontId="34" fillId="0" borderId="14" xfId="5" applyFont="1" applyFill="1" applyBorder="1" applyAlignment="1">
      <alignment horizontal="left" vertical="center" wrapText="1"/>
    </xf>
    <xf numFmtId="0" fontId="34" fillId="0" borderId="16" xfId="5" applyFont="1" applyFill="1" applyBorder="1" applyAlignment="1">
      <alignment horizontal="left" vertical="center" wrapText="1"/>
    </xf>
    <xf numFmtId="0" fontId="34" fillId="0" borderId="15" xfId="5" applyFont="1" applyFill="1" applyBorder="1" applyAlignment="1">
      <alignment horizontal="left" vertical="center" wrapText="1"/>
    </xf>
    <xf numFmtId="0" fontId="21" fillId="0" borderId="24" xfId="5" applyFont="1" applyFill="1" applyBorder="1" applyAlignment="1">
      <alignment horizontal="center" vertical="center" wrapText="1"/>
    </xf>
    <xf numFmtId="0" fontId="21" fillId="0" borderId="24" xfId="5" applyFont="1" applyFill="1" applyBorder="1" applyAlignment="1">
      <alignment horizontal="center" vertical="center"/>
    </xf>
    <xf numFmtId="0" fontId="23" fillId="0" borderId="21" xfId="5" applyFont="1" applyFill="1" applyBorder="1" applyAlignment="1">
      <alignment horizontal="center" vertical="center"/>
    </xf>
    <xf numFmtId="0" fontId="23" fillId="0" borderId="22" xfId="5" applyFont="1" applyFill="1" applyBorder="1" applyAlignment="1">
      <alignment horizontal="center" vertical="center"/>
    </xf>
    <xf numFmtId="0" fontId="23" fillId="0" borderId="23" xfId="5" applyFont="1" applyFill="1" applyBorder="1" applyAlignment="1">
      <alignment horizontal="center" vertical="center"/>
    </xf>
    <xf numFmtId="0" fontId="22" fillId="0" borderId="21" xfId="5" applyFont="1" applyFill="1" applyBorder="1" applyAlignment="1">
      <alignment horizontal="left" vertical="center"/>
    </xf>
    <xf numFmtId="0" fontId="22" fillId="0" borderId="22" xfId="5" applyFont="1" applyFill="1" applyBorder="1" applyAlignment="1">
      <alignment horizontal="left" vertical="center"/>
    </xf>
    <xf numFmtId="0" fontId="22" fillId="0" borderId="23" xfId="5" applyFont="1" applyFill="1" applyBorder="1" applyAlignment="1">
      <alignment horizontal="left" vertical="center"/>
    </xf>
    <xf numFmtId="0" fontId="21" fillId="0" borderId="21" xfId="5" applyFont="1" applyFill="1" applyBorder="1" applyAlignment="1">
      <alignment horizontal="center" vertical="center"/>
    </xf>
    <xf numFmtId="0" fontId="21" fillId="0" borderId="22" xfId="5" applyFont="1" applyFill="1" applyBorder="1" applyAlignment="1">
      <alignment horizontal="center" vertical="center"/>
    </xf>
    <xf numFmtId="0" fontId="21" fillId="0" borderId="23" xfId="5" applyFont="1" applyFill="1" applyBorder="1" applyAlignment="1">
      <alignment horizontal="center" vertical="center"/>
    </xf>
    <xf numFmtId="0" fontId="21" fillId="3" borderId="1" xfId="5" applyFont="1" applyFill="1" applyBorder="1" applyAlignment="1">
      <alignment horizontal="center" vertical="center" wrapText="1"/>
    </xf>
    <xf numFmtId="0" fontId="21" fillId="3" borderId="7" xfId="5" applyFont="1" applyFill="1" applyBorder="1" applyAlignment="1">
      <alignment horizontal="center" vertical="center"/>
    </xf>
    <xf numFmtId="0" fontId="21" fillId="3" borderId="4" xfId="5" applyFont="1" applyFill="1" applyBorder="1" applyAlignment="1">
      <alignment horizontal="center" vertical="center"/>
    </xf>
    <xf numFmtId="0" fontId="21" fillId="3" borderId="17" xfId="5" applyFont="1" applyFill="1" applyBorder="1" applyAlignment="1">
      <alignment horizontal="center" vertical="center"/>
    </xf>
    <xf numFmtId="0" fontId="21" fillId="3" borderId="7" xfId="5" applyFont="1" applyFill="1" applyBorder="1" applyAlignment="1">
      <alignment horizontal="center" vertical="center" wrapText="1"/>
    </xf>
    <xf numFmtId="0" fontId="21" fillId="0" borderId="17" xfId="5" applyFont="1" applyFill="1" applyBorder="1" applyAlignment="1">
      <alignment horizontal="center" vertical="center"/>
    </xf>
    <xf numFmtId="0" fontId="22" fillId="0" borderId="18" xfId="5" applyFont="1" applyFill="1" applyBorder="1" applyAlignment="1">
      <alignment horizontal="left" vertical="center"/>
    </xf>
    <xf numFmtId="0" fontId="22" fillId="0" borderId="19" xfId="5" applyFont="1" applyFill="1" applyBorder="1" applyAlignment="1">
      <alignment horizontal="left" vertical="center"/>
    </xf>
    <xf numFmtId="0" fontId="22" fillId="0" borderId="20" xfId="5" applyFont="1" applyFill="1" applyBorder="1" applyAlignment="1">
      <alignment horizontal="left" vertical="center"/>
    </xf>
    <xf numFmtId="0" fontId="22" fillId="0" borderId="14" xfId="5" applyFont="1" applyFill="1" applyBorder="1" applyAlignment="1">
      <alignment horizontal="left" vertical="center"/>
    </xf>
    <xf numFmtId="0" fontId="22" fillId="0" borderId="16" xfId="5" applyFont="1" applyFill="1" applyBorder="1" applyAlignment="1">
      <alignment horizontal="left" vertical="center"/>
    </xf>
    <xf numFmtId="0" fontId="22" fillId="0" borderId="15" xfId="5" applyFont="1" applyFill="1" applyBorder="1" applyAlignment="1">
      <alignment horizontal="left" vertical="center"/>
    </xf>
  </cellXfs>
  <cellStyles count="18">
    <cellStyle name="25*62*210" xfId="3"/>
    <cellStyle name="25*62*210 2" xfId="13"/>
    <cellStyle name="32B12" xfId="14"/>
    <cellStyle name="Comma" xfId="1" builtinId="3"/>
    <cellStyle name="Comma 11 2 2" xfId="15"/>
    <cellStyle name="Comma 2" xfId="7"/>
    <cellStyle name="Comma 3" xfId="11"/>
    <cellStyle name="Hyperlink" xfId="6" builtinId="8"/>
    <cellStyle name="Normal" xfId="0" builtinId="0"/>
    <cellStyle name="Normal 10" xfId="16"/>
    <cellStyle name="Normal 10 2 2 2" xfId="17"/>
    <cellStyle name="Normal 2" xfId="4"/>
    <cellStyle name="Normal 3" xfId="10"/>
    <cellStyle name="Normal_KH CB - HTCN MUA 06 2" xfId="9"/>
    <cellStyle name="Normal_PHIEU DANH GIA 07-1" xfId="5"/>
    <cellStyle name="Percent" xfId="2" builtinId="5"/>
    <cellStyle name="Percent 2" xfId="8"/>
    <cellStyle name="Percent 3" xfId="12"/>
  </cellStyles>
  <dxfs count="25">
    <dxf>
      <fill>
        <patternFill>
          <bgColor indexed="15"/>
        </patternFill>
      </fill>
    </dxf>
    <dxf>
      <fill>
        <patternFill>
          <bgColor indexed="9"/>
        </patternFill>
      </fill>
    </dxf>
    <dxf>
      <font>
        <condense val="0"/>
        <extend val="0"/>
        <color indexed="14"/>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63497</xdr:colOff>
      <xdr:row>2</xdr:row>
      <xdr:rowOff>106000</xdr:rowOff>
    </xdr:to>
    <xdr:grpSp>
      <xdr:nvGrpSpPr>
        <xdr:cNvPr id="2" name="Group 1"/>
        <xdr:cNvGrpSpPr/>
      </xdr:nvGrpSpPr>
      <xdr:grpSpPr>
        <a:xfrm>
          <a:off x="0" y="0"/>
          <a:ext cx="1663697" cy="525100"/>
          <a:chOff x="10309860" y="742520"/>
          <a:chExt cx="1835147" cy="525100"/>
        </a:xfrm>
      </xdr:grpSpPr>
      <xdr:pic>
        <xdr:nvPicPr>
          <xdr:cNvPr id="3" name="Picture 2">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10744200" y="742520"/>
            <a:ext cx="937260" cy="341039"/>
          </a:xfrm>
          <a:prstGeom prst="rect">
            <a:avLst/>
          </a:prstGeom>
        </xdr:spPr>
      </xdr:pic>
      <xdr:sp macro="" textlink="">
        <xdr:nvSpPr>
          <xdr:cNvPr id="4" name="TextBox 3">
            <a:extLst>
              <a:ext uri="{FF2B5EF4-FFF2-40B4-BE49-F238E27FC236}">
                <a16:creationId xmlns="" xmlns:a16="http://schemas.microsoft.com/office/drawing/2014/main" id="{00000000-0008-0000-0200-000007000000}"/>
              </a:ext>
            </a:extLst>
          </xdr:cNvPr>
          <xdr:cNvSpPr txBox="1"/>
        </xdr:nvSpPr>
        <xdr:spPr>
          <a:xfrm>
            <a:off x="10309860" y="1023528"/>
            <a:ext cx="1835147" cy="244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l"/>
            <a:r>
              <a:rPr lang="en-US" sz="800" b="1">
                <a:solidFill>
                  <a:srgbClr val="006600"/>
                </a:solidFill>
                <a:latin typeface="+mj-lt"/>
                <a:cs typeface="Times New Roman" pitchFamily="18" charset="0"/>
              </a:rPr>
              <a:t>CHUNG </a:t>
            </a:r>
            <a:r>
              <a:rPr lang="en-US" sz="800" b="1" baseline="0">
                <a:solidFill>
                  <a:srgbClr val="006600"/>
                </a:solidFill>
                <a:latin typeface="+mj-lt"/>
                <a:cs typeface="Times New Roman" pitchFamily="18" charset="0"/>
              </a:rPr>
              <a:t>SỨC KIẾN TẠO TƯƠNG LAI</a:t>
            </a:r>
            <a:endParaRPr lang="en-US" sz="800" b="1">
              <a:solidFill>
                <a:srgbClr val="006600"/>
              </a:solidFill>
              <a:latin typeface="+mj-lt"/>
              <a:cs typeface="Times New Roman"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4</xdr:col>
      <xdr:colOff>806447</xdr:colOff>
      <xdr:row>1</xdr:row>
      <xdr:rowOff>144100</xdr:rowOff>
    </xdr:to>
    <xdr:grpSp>
      <xdr:nvGrpSpPr>
        <xdr:cNvPr id="2" name="Group 1"/>
        <xdr:cNvGrpSpPr/>
      </xdr:nvGrpSpPr>
      <xdr:grpSpPr>
        <a:xfrm>
          <a:off x="123825" y="0"/>
          <a:ext cx="1806572" cy="410800"/>
          <a:chOff x="10309860" y="742520"/>
          <a:chExt cx="1835147" cy="525100"/>
        </a:xfrm>
      </xdr:grpSpPr>
      <xdr:pic>
        <xdr:nvPicPr>
          <xdr:cNvPr id="3" name="Picture 2">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10744200" y="742520"/>
            <a:ext cx="937260" cy="341039"/>
          </a:xfrm>
          <a:prstGeom prst="rect">
            <a:avLst/>
          </a:prstGeom>
        </xdr:spPr>
      </xdr:pic>
      <xdr:sp macro="" textlink="">
        <xdr:nvSpPr>
          <xdr:cNvPr id="4" name="TextBox 3">
            <a:extLst>
              <a:ext uri="{FF2B5EF4-FFF2-40B4-BE49-F238E27FC236}">
                <a16:creationId xmlns:a16="http://schemas.microsoft.com/office/drawing/2014/main" xmlns="" id="{00000000-0008-0000-0200-000007000000}"/>
              </a:ext>
            </a:extLst>
          </xdr:cNvPr>
          <xdr:cNvSpPr txBox="1"/>
        </xdr:nvSpPr>
        <xdr:spPr>
          <a:xfrm>
            <a:off x="10309860" y="1023528"/>
            <a:ext cx="1835147" cy="244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noAutofit/>
          </a:bodyPr>
          <a:lstStyle/>
          <a:p>
            <a:pPr algn="l"/>
            <a:r>
              <a:rPr lang="en-US" sz="800" b="1">
                <a:solidFill>
                  <a:srgbClr val="006600"/>
                </a:solidFill>
                <a:latin typeface="+mj-lt"/>
                <a:cs typeface="Times New Roman" pitchFamily="18" charset="0"/>
              </a:rPr>
              <a:t>CHUNG </a:t>
            </a:r>
            <a:r>
              <a:rPr lang="en-US" sz="800" b="1" baseline="0">
                <a:solidFill>
                  <a:srgbClr val="006600"/>
                </a:solidFill>
                <a:latin typeface="+mj-lt"/>
                <a:cs typeface="Times New Roman" pitchFamily="18" charset="0"/>
              </a:rPr>
              <a:t>SỨC KIẾN TẠO TƯƠNG LAI</a:t>
            </a:r>
            <a:endParaRPr lang="en-US" sz="800" b="1">
              <a:solidFill>
                <a:srgbClr val="006600"/>
              </a:solidFill>
              <a:latin typeface="+mj-lt"/>
              <a:cs typeface="Times New Roman"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31936</xdr:colOff>
      <xdr:row>1</xdr:row>
      <xdr:rowOff>116540</xdr:rowOff>
    </xdr:from>
    <xdr:to>
      <xdr:col>2</xdr:col>
      <xdr:colOff>582706</xdr:colOff>
      <xdr:row>2</xdr:row>
      <xdr:rowOff>66675</xdr:rowOff>
    </xdr:to>
    <xdr:sp macro="" textlink="">
      <xdr:nvSpPr>
        <xdr:cNvPr id="2" name="Rectangle 2"/>
        <xdr:cNvSpPr>
          <a:spLocks noChangeArrowheads="1"/>
        </xdr:cNvSpPr>
      </xdr:nvSpPr>
      <xdr:spPr bwMode="auto">
        <a:xfrm>
          <a:off x="31936" y="373715"/>
          <a:ext cx="1093695" cy="207310"/>
        </a:xfrm>
        <a:prstGeom prst="rect">
          <a:avLst/>
        </a:prstGeom>
        <a:solidFill>
          <a:srgbClr val="FFFFFF"/>
        </a:solidFill>
        <a:ln w="9525">
          <a:noFill/>
          <a:miter lim="800000"/>
          <a:headEnd/>
          <a:tailEnd/>
        </a:ln>
      </xdr:spPr>
      <xdr:txBody>
        <a:bodyPr vertOverflow="clip" wrap="square" lIns="27432" tIns="22860" rIns="0" bIns="0" anchor="t" upright="1"/>
        <a:lstStyle/>
        <a:p>
          <a:pPr algn="l" rtl="1">
            <a:defRPr sz="1000"/>
          </a:pPr>
          <a:r>
            <a:rPr lang="en-US" sz="900" b="1" i="0" strike="noStrike">
              <a:solidFill>
                <a:srgbClr val="000000"/>
              </a:solidFill>
              <a:latin typeface="Times New Roman" pitchFamily="18" charset="0"/>
              <a:cs typeface="Times New Roman" pitchFamily="18" charset="0"/>
            </a:rPr>
            <a:t>P.QLNS HD &amp; VP1</a:t>
          </a:r>
        </a:p>
      </xdr:txBody>
    </xdr:sp>
    <xdr:clientData/>
  </xdr:twoCellAnchor>
  <xdr:twoCellAnchor>
    <xdr:from>
      <xdr:col>0</xdr:col>
      <xdr:colOff>0</xdr:colOff>
      <xdr:row>0</xdr:row>
      <xdr:rowOff>0</xdr:rowOff>
    </xdr:from>
    <xdr:to>
      <xdr:col>2</xdr:col>
      <xdr:colOff>209550</xdr:colOff>
      <xdr:row>1</xdr:row>
      <xdr:rowOff>127423</xdr:rowOff>
    </xdr:to>
    <xdr:pic>
      <xdr:nvPicPr>
        <xdr:cNvPr id="3"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752475" cy="384598"/>
        </a:xfrm>
        <a:prstGeom prst="rect">
          <a:avLst/>
        </a:prstGeom>
        <a:solidFill>
          <a:srgbClr val="FFFFFF"/>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R69"/>
  <sheetViews>
    <sheetView showGridLines="0" zoomScaleNormal="100" workbookViewId="0">
      <pane xSplit="2" ySplit="9" topLeftCell="C10" activePane="bottomRight" state="frozen"/>
      <selection pane="topRight" activeCell="C1" sqref="C1"/>
      <selection pane="bottomLeft" activeCell="A10" sqref="A10"/>
      <selection pane="bottomRight" activeCell="G33" sqref="G33"/>
    </sheetView>
  </sheetViews>
  <sheetFormatPr defaultColWidth="9.140625" defaultRowHeight="12.75"/>
  <cols>
    <col min="1" max="1" width="2.7109375" style="192" customWidth="1"/>
    <col min="2" max="2" width="21.28515625" style="192" customWidth="1"/>
    <col min="3" max="17" width="4.85546875" style="192" customWidth="1"/>
    <col min="18" max="18" width="15.140625" style="192" customWidth="1"/>
    <col min="19" max="16384" width="9.140625" style="194"/>
  </cols>
  <sheetData>
    <row r="1" spans="1:18" ht="17.25" customHeight="1">
      <c r="B1" s="193"/>
      <c r="C1" s="251" t="s">
        <v>558</v>
      </c>
      <c r="D1" s="251"/>
      <c r="E1" s="251"/>
      <c r="F1" s="251"/>
      <c r="G1" s="251"/>
      <c r="H1" s="251"/>
      <c r="I1" s="251"/>
      <c r="J1" s="251"/>
      <c r="K1" s="251"/>
      <c r="L1" s="251"/>
      <c r="M1" s="251"/>
      <c r="N1" s="251"/>
      <c r="O1" s="251"/>
      <c r="P1" s="251"/>
      <c r="Q1" s="251"/>
      <c r="R1" s="3" t="s">
        <v>559</v>
      </c>
    </row>
    <row r="2" spans="1:18" ht="15.75" customHeight="1">
      <c r="B2" s="195"/>
      <c r="C2" s="251"/>
      <c r="D2" s="251"/>
      <c r="E2" s="251"/>
      <c r="F2" s="251"/>
      <c r="G2" s="251"/>
      <c r="H2" s="251"/>
      <c r="I2" s="251"/>
      <c r="J2" s="251"/>
      <c r="K2" s="251"/>
      <c r="L2" s="251"/>
      <c r="M2" s="251"/>
      <c r="N2" s="251"/>
      <c r="O2" s="251"/>
      <c r="P2" s="251"/>
      <c r="Q2" s="251"/>
      <c r="R2" s="196"/>
    </row>
    <row r="3" spans="1:18" ht="22.5" customHeight="1">
      <c r="C3" s="197" t="s">
        <v>583</v>
      </c>
      <c r="D3" s="198"/>
      <c r="E3" s="198"/>
      <c r="F3" s="198"/>
      <c r="G3" s="198"/>
      <c r="H3" s="198"/>
      <c r="I3" s="198"/>
      <c r="J3" s="198"/>
      <c r="K3" s="198"/>
      <c r="L3" s="198"/>
      <c r="M3" s="198"/>
      <c r="N3" s="198"/>
      <c r="O3" s="198"/>
      <c r="P3" s="198"/>
      <c r="Q3" s="198"/>
    </row>
    <row r="4" spans="1:18" s="200" customFormat="1" ht="18" customHeight="1">
      <c r="A4" s="252" t="s">
        <v>560</v>
      </c>
      <c r="B4" s="253"/>
      <c r="C4" s="199" t="s">
        <v>527</v>
      </c>
      <c r="D4" s="199"/>
      <c r="E4" s="199"/>
      <c r="F4" s="199"/>
      <c r="G4" s="199"/>
      <c r="H4" s="199"/>
      <c r="I4" s="199"/>
      <c r="J4" s="199"/>
      <c r="K4" s="199"/>
      <c r="L4" s="199"/>
      <c r="M4" s="199"/>
      <c r="N4" s="199"/>
      <c r="O4" s="199"/>
      <c r="P4" s="199"/>
      <c r="Q4" s="199"/>
      <c r="R4" s="258" t="s">
        <v>561</v>
      </c>
    </row>
    <row r="5" spans="1:18" s="200" customFormat="1" ht="18" customHeight="1">
      <c r="A5" s="254"/>
      <c r="B5" s="255"/>
      <c r="C5" s="260" t="s">
        <v>562</v>
      </c>
      <c r="D5" s="260"/>
      <c r="E5" s="260"/>
      <c r="F5" s="260"/>
      <c r="G5" s="260"/>
      <c r="H5" s="260" t="s">
        <v>18</v>
      </c>
      <c r="I5" s="260"/>
      <c r="J5" s="260"/>
      <c r="K5" s="260"/>
      <c r="L5" s="260"/>
      <c r="M5" s="260" t="s">
        <v>25</v>
      </c>
      <c r="N5" s="260"/>
      <c r="O5" s="260"/>
      <c r="P5" s="260"/>
      <c r="Q5" s="260"/>
      <c r="R5" s="259"/>
    </row>
    <row r="6" spans="1:18" s="200" customFormat="1" ht="18" customHeight="1">
      <c r="A6" s="256"/>
      <c r="B6" s="257"/>
      <c r="C6" s="201" t="s">
        <v>563</v>
      </c>
      <c r="D6" s="202" t="s">
        <v>564</v>
      </c>
      <c r="E6" s="202" t="s">
        <v>565</v>
      </c>
      <c r="F6" s="202" t="s">
        <v>566</v>
      </c>
      <c r="G6" s="203" t="s">
        <v>567</v>
      </c>
      <c r="H6" s="201" t="s">
        <v>563</v>
      </c>
      <c r="I6" s="202" t="s">
        <v>564</v>
      </c>
      <c r="J6" s="202" t="s">
        <v>565</v>
      </c>
      <c r="K6" s="202" t="s">
        <v>566</v>
      </c>
      <c r="L6" s="203" t="s">
        <v>567</v>
      </c>
      <c r="M6" s="201" t="s">
        <v>563</v>
      </c>
      <c r="N6" s="202" t="s">
        <v>564</v>
      </c>
      <c r="O6" s="202" t="s">
        <v>565</v>
      </c>
      <c r="P6" s="202" t="s">
        <v>566</v>
      </c>
      <c r="Q6" s="203" t="s">
        <v>567</v>
      </c>
      <c r="R6" s="259"/>
    </row>
    <row r="7" spans="1:18" ht="4.5" customHeight="1">
      <c r="A7" s="204"/>
      <c r="B7" s="204"/>
      <c r="C7" s="204"/>
      <c r="D7" s="204"/>
      <c r="E7" s="204"/>
      <c r="F7" s="204"/>
      <c r="G7" s="204"/>
      <c r="H7" s="204"/>
      <c r="I7" s="204"/>
      <c r="J7" s="204"/>
      <c r="K7" s="204"/>
      <c r="L7" s="204"/>
      <c r="M7" s="204"/>
      <c r="N7" s="204"/>
      <c r="O7" s="204"/>
      <c r="P7" s="204"/>
      <c r="Q7" s="204"/>
      <c r="R7" s="204"/>
    </row>
    <row r="8" spans="1:18" s="209" customFormat="1" ht="17.25" customHeight="1">
      <c r="A8" s="249" t="s">
        <v>563</v>
      </c>
      <c r="B8" s="250"/>
      <c r="C8" s="205"/>
      <c r="D8" s="206"/>
      <c r="E8" s="206"/>
      <c r="F8" s="206"/>
      <c r="G8" s="207"/>
      <c r="H8" s="205"/>
      <c r="I8" s="206"/>
      <c r="J8" s="206"/>
      <c r="K8" s="206"/>
      <c r="L8" s="207"/>
      <c r="M8" s="205"/>
      <c r="N8" s="206"/>
      <c r="O8" s="206"/>
      <c r="P8" s="206"/>
      <c r="Q8" s="207"/>
      <c r="R8" s="208"/>
    </row>
    <row r="9" spans="1:18" ht="4.5" customHeight="1">
      <c r="A9" s="204"/>
      <c r="B9" s="204"/>
      <c r="C9" s="204"/>
      <c r="D9" s="204"/>
      <c r="E9" s="204"/>
      <c r="F9" s="204"/>
      <c r="G9" s="204"/>
      <c r="H9" s="204"/>
      <c r="I9" s="204"/>
      <c r="J9" s="204"/>
      <c r="K9" s="204"/>
      <c r="L9" s="204"/>
      <c r="M9" s="204"/>
      <c r="N9" s="204"/>
      <c r="O9" s="204"/>
      <c r="P9" s="204"/>
      <c r="Q9" s="204"/>
      <c r="R9" s="204"/>
    </row>
    <row r="10" spans="1:18" s="216" customFormat="1" ht="17.25" customHeight="1">
      <c r="A10" s="210" t="s">
        <v>568</v>
      </c>
      <c r="B10" s="211"/>
      <c r="C10" s="212"/>
      <c r="D10" s="213"/>
      <c r="E10" s="213"/>
      <c r="F10" s="213"/>
      <c r="G10" s="214"/>
      <c r="H10" s="212"/>
      <c r="I10" s="213"/>
      <c r="J10" s="213"/>
      <c r="K10" s="213"/>
      <c r="L10" s="214"/>
      <c r="M10" s="212"/>
      <c r="N10" s="213"/>
      <c r="O10" s="213"/>
      <c r="P10" s="213"/>
      <c r="Q10" s="214"/>
      <c r="R10" s="215"/>
    </row>
    <row r="11" spans="1:18" s="223" customFormat="1" ht="17.25" customHeight="1">
      <c r="A11" s="217" t="s">
        <v>569</v>
      </c>
      <c r="B11" s="218"/>
      <c r="C11" s="219"/>
      <c r="D11" s="220"/>
      <c r="E11" s="220"/>
      <c r="F11" s="220"/>
      <c r="G11" s="221"/>
      <c r="H11" s="219"/>
      <c r="I11" s="220"/>
      <c r="J11" s="220"/>
      <c r="K11" s="220"/>
      <c r="L11" s="221"/>
      <c r="M11" s="219"/>
      <c r="N11" s="220"/>
      <c r="O11" s="220"/>
      <c r="P11" s="220"/>
      <c r="Q11" s="221"/>
      <c r="R11" s="222"/>
    </row>
    <row r="12" spans="1:18" ht="17.25" customHeight="1">
      <c r="A12" s="224" t="s">
        <v>570</v>
      </c>
      <c r="B12" s="225" t="s">
        <v>61</v>
      </c>
      <c r="C12" s="226"/>
      <c r="D12" s="227"/>
      <c r="E12" s="227"/>
      <c r="F12" s="227"/>
      <c r="G12" s="228"/>
      <c r="H12" s="226"/>
      <c r="I12" s="227"/>
      <c r="J12" s="227"/>
      <c r="K12" s="227"/>
      <c r="L12" s="227"/>
      <c r="M12" s="226"/>
      <c r="N12" s="227"/>
      <c r="O12" s="227"/>
      <c r="P12" s="227"/>
      <c r="Q12" s="228"/>
      <c r="R12" s="225"/>
    </row>
    <row r="13" spans="1:18" ht="17.25" customHeight="1">
      <c r="A13" s="224" t="s">
        <v>570</v>
      </c>
      <c r="B13" s="225" t="s">
        <v>31</v>
      </c>
      <c r="C13" s="226"/>
      <c r="D13" s="227"/>
      <c r="E13" s="227"/>
      <c r="F13" s="227"/>
      <c r="G13" s="228"/>
      <c r="H13" s="226"/>
      <c r="I13" s="227"/>
      <c r="J13" s="227"/>
      <c r="K13" s="227"/>
      <c r="L13" s="227"/>
      <c r="M13" s="226"/>
      <c r="N13" s="227"/>
      <c r="O13" s="227"/>
      <c r="P13" s="227"/>
      <c r="Q13" s="228"/>
      <c r="R13" s="225"/>
    </row>
    <row r="14" spans="1:18" ht="17.25" customHeight="1">
      <c r="A14" s="224" t="s">
        <v>570</v>
      </c>
      <c r="B14" s="225" t="s">
        <v>571</v>
      </c>
      <c r="C14" s="226"/>
      <c r="D14" s="227"/>
      <c r="E14" s="227"/>
      <c r="F14" s="227"/>
      <c r="G14" s="228"/>
      <c r="H14" s="226"/>
      <c r="I14" s="227"/>
      <c r="J14" s="227"/>
      <c r="K14" s="227"/>
      <c r="L14" s="227"/>
      <c r="M14" s="226"/>
      <c r="N14" s="227"/>
      <c r="O14" s="227"/>
      <c r="P14" s="227"/>
      <c r="Q14" s="228"/>
      <c r="R14" s="225"/>
    </row>
    <row r="15" spans="1:18" ht="17.25" customHeight="1">
      <c r="A15" s="224" t="s">
        <v>570</v>
      </c>
      <c r="B15" s="225" t="s">
        <v>34</v>
      </c>
      <c r="C15" s="226"/>
      <c r="D15" s="227"/>
      <c r="E15" s="227"/>
      <c r="F15" s="227"/>
      <c r="G15" s="228"/>
      <c r="H15" s="226"/>
      <c r="I15" s="227"/>
      <c r="J15" s="227"/>
      <c r="K15" s="227"/>
      <c r="L15" s="227"/>
      <c r="M15" s="226"/>
      <c r="N15" s="227"/>
      <c r="O15" s="227"/>
      <c r="P15" s="227"/>
      <c r="Q15" s="228"/>
      <c r="R15" s="225"/>
    </row>
    <row r="16" spans="1:18" ht="17.25" customHeight="1">
      <c r="A16" s="224" t="s">
        <v>570</v>
      </c>
      <c r="B16" s="225" t="s">
        <v>24</v>
      </c>
      <c r="C16" s="226"/>
      <c r="D16" s="227"/>
      <c r="E16" s="227"/>
      <c r="F16" s="227"/>
      <c r="G16" s="228"/>
      <c r="H16" s="226"/>
      <c r="I16" s="227"/>
      <c r="J16" s="227"/>
      <c r="K16" s="227"/>
      <c r="L16" s="227"/>
      <c r="M16" s="226"/>
      <c r="N16" s="227"/>
      <c r="O16" s="227"/>
      <c r="P16" s="227"/>
      <c r="Q16" s="228"/>
      <c r="R16" s="225"/>
    </row>
    <row r="17" spans="1:18" ht="17.25" customHeight="1">
      <c r="A17" s="224" t="s">
        <v>570</v>
      </c>
      <c r="B17" s="225" t="s">
        <v>424</v>
      </c>
      <c r="C17" s="226"/>
      <c r="D17" s="227"/>
      <c r="E17" s="227"/>
      <c r="F17" s="227"/>
      <c r="G17" s="228"/>
      <c r="H17" s="226"/>
      <c r="I17" s="227"/>
      <c r="J17" s="227"/>
      <c r="K17" s="227"/>
      <c r="L17" s="227"/>
      <c r="M17" s="226"/>
      <c r="N17" s="227"/>
      <c r="O17" s="227"/>
      <c r="P17" s="227"/>
      <c r="Q17" s="228"/>
      <c r="R17" s="225"/>
    </row>
    <row r="18" spans="1:18" s="223" customFormat="1" ht="17.25" customHeight="1">
      <c r="A18" s="217" t="s">
        <v>572</v>
      </c>
      <c r="B18" s="218"/>
      <c r="C18" s="219"/>
      <c r="D18" s="220"/>
      <c r="E18" s="220"/>
      <c r="F18" s="220"/>
      <c r="G18" s="221"/>
      <c r="H18" s="219"/>
      <c r="I18" s="220"/>
      <c r="J18" s="220"/>
      <c r="K18" s="220"/>
      <c r="L18" s="221"/>
      <c r="M18" s="219"/>
      <c r="N18" s="220"/>
      <c r="O18" s="220"/>
      <c r="P18" s="220"/>
      <c r="Q18" s="221"/>
      <c r="R18" s="222"/>
    </row>
    <row r="19" spans="1:18" ht="17.25" customHeight="1">
      <c r="A19" s="224" t="s">
        <v>570</v>
      </c>
      <c r="B19" s="225" t="s">
        <v>61</v>
      </c>
      <c r="C19" s="226"/>
      <c r="D19" s="227"/>
      <c r="E19" s="227"/>
      <c r="F19" s="227"/>
      <c r="G19" s="228"/>
      <c r="H19" s="226"/>
      <c r="I19" s="227"/>
      <c r="J19" s="227"/>
      <c r="K19" s="227"/>
      <c r="L19" s="227"/>
      <c r="M19" s="226"/>
      <c r="N19" s="227"/>
      <c r="O19" s="227"/>
      <c r="P19" s="227"/>
      <c r="Q19" s="228"/>
      <c r="R19" s="225"/>
    </row>
    <row r="20" spans="1:18" ht="17.25" customHeight="1">
      <c r="A20" s="224" t="s">
        <v>570</v>
      </c>
      <c r="B20" s="225" t="s">
        <v>31</v>
      </c>
      <c r="C20" s="226"/>
      <c r="D20" s="227"/>
      <c r="E20" s="227"/>
      <c r="F20" s="227"/>
      <c r="G20" s="228"/>
      <c r="H20" s="226"/>
      <c r="I20" s="227"/>
      <c r="J20" s="227"/>
      <c r="K20" s="227"/>
      <c r="L20" s="227"/>
      <c r="M20" s="226"/>
      <c r="N20" s="227"/>
      <c r="O20" s="227"/>
      <c r="P20" s="227"/>
      <c r="Q20" s="228"/>
      <c r="R20" s="225"/>
    </row>
    <row r="21" spans="1:18" ht="17.25" customHeight="1">
      <c r="A21" s="224" t="s">
        <v>570</v>
      </c>
      <c r="B21" s="225" t="s">
        <v>571</v>
      </c>
      <c r="C21" s="226"/>
      <c r="D21" s="227"/>
      <c r="E21" s="227"/>
      <c r="F21" s="227"/>
      <c r="G21" s="228"/>
      <c r="H21" s="226"/>
      <c r="I21" s="227"/>
      <c r="J21" s="227"/>
      <c r="K21" s="227"/>
      <c r="L21" s="227"/>
      <c r="M21" s="226"/>
      <c r="N21" s="227"/>
      <c r="O21" s="227"/>
      <c r="P21" s="227"/>
      <c r="Q21" s="228"/>
      <c r="R21" s="225"/>
    </row>
    <row r="22" spans="1:18" ht="17.25" customHeight="1">
      <c r="A22" s="224" t="s">
        <v>570</v>
      </c>
      <c r="B22" s="225" t="s">
        <v>34</v>
      </c>
      <c r="C22" s="226"/>
      <c r="D22" s="227"/>
      <c r="E22" s="227"/>
      <c r="F22" s="227"/>
      <c r="G22" s="228"/>
      <c r="H22" s="226"/>
      <c r="I22" s="227"/>
      <c r="J22" s="227"/>
      <c r="K22" s="227"/>
      <c r="L22" s="227"/>
      <c r="M22" s="226"/>
      <c r="N22" s="227"/>
      <c r="O22" s="227"/>
      <c r="P22" s="227"/>
      <c r="Q22" s="228"/>
      <c r="R22" s="225"/>
    </row>
    <row r="23" spans="1:18" ht="17.25" customHeight="1">
      <c r="A23" s="224" t="s">
        <v>570</v>
      </c>
      <c r="B23" s="225" t="s">
        <v>24</v>
      </c>
      <c r="C23" s="226"/>
      <c r="D23" s="227"/>
      <c r="E23" s="227"/>
      <c r="F23" s="227"/>
      <c r="G23" s="228"/>
      <c r="H23" s="226"/>
      <c r="I23" s="227"/>
      <c r="J23" s="227"/>
      <c r="K23" s="227"/>
      <c r="L23" s="227"/>
      <c r="M23" s="226"/>
      <c r="N23" s="227"/>
      <c r="O23" s="227"/>
      <c r="P23" s="227"/>
      <c r="Q23" s="228"/>
      <c r="R23" s="225"/>
    </row>
    <row r="24" spans="1:18" ht="17.25" customHeight="1">
      <c r="A24" s="224" t="s">
        <v>570</v>
      </c>
      <c r="B24" s="225" t="s">
        <v>424</v>
      </c>
      <c r="C24" s="226"/>
      <c r="D24" s="227"/>
      <c r="E24" s="227"/>
      <c r="F24" s="227"/>
      <c r="G24" s="228"/>
      <c r="H24" s="226"/>
      <c r="I24" s="227"/>
      <c r="J24" s="227"/>
      <c r="K24" s="227"/>
      <c r="L24" s="227"/>
      <c r="M24" s="226"/>
      <c r="N24" s="227"/>
      <c r="O24" s="227"/>
      <c r="P24" s="227"/>
      <c r="Q24" s="228"/>
      <c r="R24" s="225"/>
    </row>
    <row r="25" spans="1:18" s="223" customFormat="1" ht="17.25" customHeight="1">
      <c r="A25" s="217" t="s">
        <v>573</v>
      </c>
      <c r="B25" s="218"/>
      <c r="C25" s="219"/>
      <c r="D25" s="220"/>
      <c r="E25" s="220"/>
      <c r="F25" s="220"/>
      <c r="G25" s="221"/>
      <c r="H25" s="219"/>
      <c r="I25" s="220"/>
      <c r="J25" s="220"/>
      <c r="K25" s="220"/>
      <c r="L25" s="221"/>
      <c r="M25" s="219"/>
      <c r="N25" s="220"/>
      <c r="O25" s="220"/>
      <c r="P25" s="220"/>
      <c r="Q25" s="221"/>
      <c r="R25" s="222"/>
    </row>
    <row r="26" spans="1:18" ht="17.25" customHeight="1">
      <c r="A26" s="224" t="s">
        <v>570</v>
      </c>
      <c r="B26" s="225" t="s">
        <v>61</v>
      </c>
      <c r="C26" s="226"/>
      <c r="D26" s="227"/>
      <c r="E26" s="227"/>
      <c r="F26" s="227"/>
      <c r="G26" s="228"/>
      <c r="H26" s="226"/>
      <c r="I26" s="227"/>
      <c r="J26" s="227"/>
      <c r="K26" s="227"/>
      <c r="L26" s="227"/>
      <c r="M26" s="226"/>
      <c r="N26" s="227"/>
      <c r="O26" s="227"/>
      <c r="P26" s="227"/>
      <c r="Q26" s="228"/>
      <c r="R26" s="225"/>
    </row>
    <row r="27" spans="1:18" ht="17.25" customHeight="1">
      <c r="A27" s="224" t="s">
        <v>570</v>
      </c>
      <c r="B27" s="225" t="s">
        <v>31</v>
      </c>
      <c r="C27" s="226"/>
      <c r="D27" s="227"/>
      <c r="E27" s="227"/>
      <c r="F27" s="227"/>
      <c r="G27" s="228"/>
      <c r="H27" s="226"/>
      <c r="I27" s="227"/>
      <c r="J27" s="227"/>
      <c r="K27" s="227"/>
      <c r="L27" s="227"/>
      <c r="M27" s="226"/>
      <c r="N27" s="227"/>
      <c r="O27" s="227"/>
      <c r="P27" s="227"/>
      <c r="Q27" s="228"/>
      <c r="R27" s="225"/>
    </row>
    <row r="28" spans="1:18" ht="17.25" customHeight="1">
      <c r="A28" s="224" t="s">
        <v>570</v>
      </c>
      <c r="B28" s="225" t="s">
        <v>571</v>
      </c>
      <c r="C28" s="226"/>
      <c r="D28" s="227"/>
      <c r="E28" s="227"/>
      <c r="F28" s="227"/>
      <c r="G28" s="228"/>
      <c r="H28" s="226"/>
      <c r="I28" s="227"/>
      <c r="J28" s="227"/>
      <c r="K28" s="227"/>
      <c r="L28" s="227"/>
      <c r="M28" s="226"/>
      <c r="N28" s="227"/>
      <c r="O28" s="227"/>
      <c r="P28" s="227"/>
      <c r="Q28" s="228"/>
      <c r="R28" s="225"/>
    </row>
    <row r="29" spans="1:18" ht="17.25" customHeight="1">
      <c r="A29" s="224" t="s">
        <v>570</v>
      </c>
      <c r="B29" s="225" t="s">
        <v>34</v>
      </c>
      <c r="C29" s="226"/>
      <c r="D29" s="227"/>
      <c r="E29" s="227"/>
      <c r="F29" s="227"/>
      <c r="G29" s="228"/>
      <c r="H29" s="226"/>
      <c r="I29" s="227"/>
      <c r="J29" s="227"/>
      <c r="K29" s="227"/>
      <c r="L29" s="227"/>
      <c r="M29" s="226"/>
      <c r="N29" s="227"/>
      <c r="O29" s="227"/>
      <c r="P29" s="227"/>
      <c r="Q29" s="228"/>
      <c r="R29" s="225"/>
    </row>
    <row r="30" spans="1:18" ht="17.25" customHeight="1">
      <c r="A30" s="224" t="s">
        <v>570</v>
      </c>
      <c r="B30" s="225" t="s">
        <v>24</v>
      </c>
      <c r="C30" s="226"/>
      <c r="D30" s="227"/>
      <c r="E30" s="227"/>
      <c r="F30" s="227"/>
      <c r="G30" s="228"/>
      <c r="H30" s="226"/>
      <c r="I30" s="227"/>
      <c r="J30" s="227"/>
      <c r="K30" s="227"/>
      <c r="L30" s="227"/>
      <c r="M30" s="226"/>
      <c r="N30" s="227"/>
      <c r="O30" s="227"/>
      <c r="P30" s="227"/>
      <c r="Q30" s="228"/>
      <c r="R30" s="225"/>
    </row>
    <row r="31" spans="1:18" ht="17.25" customHeight="1">
      <c r="A31" s="224" t="s">
        <v>570</v>
      </c>
      <c r="B31" s="225" t="s">
        <v>424</v>
      </c>
      <c r="C31" s="226"/>
      <c r="D31" s="227"/>
      <c r="E31" s="227"/>
      <c r="F31" s="227"/>
      <c r="G31" s="228"/>
      <c r="H31" s="226"/>
      <c r="I31" s="227"/>
      <c r="J31" s="227"/>
      <c r="K31" s="227"/>
      <c r="L31" s="227"/>
      <c r="M31" s="226"/>
      <c r="N31" s="227"/>
      <c r="O31" s="227"/>
      <c r="P31" s="227"/>
      <c r="Q31" s="228"/>
      <c r="R31" s="225"/>
    </row>
    <row r="32" spans="1:18" s="223" customFormat="1" ht="17.25" customHeight="1">
      <c r="A32" s="217" t="s">
        <v>574</v>
      </c>
      <c r="B32" s="218"/>
      <c r="C32" s="219"/>
      <c r="D32" s="220"/>
      <c r="E32" s="220"/>
      <c r="F32" s="220"/>
      <c r="G32" s="221"/>
      <c r="H32" s="219"/>
      <c r="I32" s="220"/>
      <c r="J32" s="220"/>
      <c r="K32" s="220"/>
      <c r="L32" s="221"/>
      <c r="M32" s="219"/>
      <c r="N32" s="220"/>
      <c r="O32" s="220"/>
      <c r="P32" s="220"/>
      <c r="Q32" s="221"/>
      <c r="R32" s="222"/>
    </row>
    <row r="33" spans="1:18" ht="17.25" customHeight="1">
      <c r="A33" s="224" t="s">
        <v>570</v>
      </c>
      <c r="B33" s="225" t="s">
        <v>61</v>
      </c>
      <c r="C33" s="226"/>
      <c r="D33" s="227"/>
      <c r="E33" s="227"/>
      <c r="F33" s="227"/>
      <c r="G33" s="228"/>
      <c r="H33" s="226"/>
      <c r="I33" s="227"/>
      <c r="J33" s="227"/>
      <c r="K33" s="227"/>
      <c r="L33" s="227"/>
      <c r="M33" s="226"/>
      <c r="N33" s="227"/>
      <c r="O33" s="227"/>
      <c r="P33" s="227"/>
      <c r="Q33" s="228"/>
      <c r="R33" s="225"/>
    </row>
    <row r="34" spans="1:18" ht="17.25" customHeight="1">
      <c r="A34" s="224" t="s">
        <v>570</v>
      </c>
      <c r="B34" s="225" t="s">
        <v>31</v>
      </c>
      <c r="C34" s="226"/>
      <c r="D34" s="227"/>
      <c r="E34" s="227"/>
      <c r="F34" s="227"/>
      <c r="G34" s="228"/>
      <c r="H34" s="226"/>
      <c r="I34" s="227"/>
      <c r="J34" s="227"/>
      <c r="K34" s="227"/>
      <c r="L34" s="227"/>
      <c r="M34" s="226"/>
      <c r="N34" s="227"/>
      <c r="O34" s="227"/>
      <c r="P34" s="227"/>
      <c r="Q34" s="228"/>
      <c r="R34" s="225"/>
    </row>
    <row r="35" spans="1:18" ht="17.25" customHeight="1">
      <c r="A35" s="224" t="s">
        <v>570</v>
      </c>
      <c r="B35" s="225" t="s">
        <v>571</v>
      </c>
      <c r="C35" s="226"/>
      <c r="D35" s="227"/>
      <c r="E35" s="227"/>
      <c r="F35" s="227"/>
      <c r="G35" s="228"/>
      <c r="H35" s="226"/>
      <c r="I35" s="227"/>
      <c r="J35" s="227"/>
      <c r="K35" s="227"/>
      <c r="L35" s="227"/>
      <c r="M35" s="226"/>
      <c r="N35" s="227"/>
      <c r="O35" s="227"/>
      <c r="P35" s="227"/>
      <c r="Q35" s="228"/>
      <c r="R35" s="225"/>
    </row>
    <row r="36" spans="1:18" ht="17.25" customHeight="1">
      <c r="A36" s="224" t="s">
        <v>570</v>
      </c>
      <c r="B36" s="225" t="s">
        <v>34</v>
      </c>
      <c r="C36" s="226"/>
      <c r="D36" s="227"/>
      <c r="E36" s="227"/>
      <c r="F36" s="227"/>
      <c r="G36" s="228"/>
      <c r="H36" s="226"/>
      <c r="I36" s="227"/>
      <c r="J36" s="227"/>
      <c r="K36" s="227"/>
      <c r="L36" s="227"/>
      <c r="M36" s="226"/>
      <c r="N36" s="227"/>
      <c r="O36" s="227"/>
      <c r="P36" s="227"/>
      <c r="Q36" s="228"/>
      <c r="R36" s="225"/>
    </row>
    <row r="37" spans="1:18" ht="17.25" customHeight="1">
      <c r="A37" s="224" t="s">
        <v>570</v>
      </c>
      <c r="B37" s="225" t="s">
        <v>24</v>
      </c>
      <c r="C37" s="226"/>
      <c r="D37" s="227"/>
      <c r="E37" s="227"/>
      <c r="F37" s="227"/>
      <c r="G37" s="228"/>
      <c r="H37" s="226"/>
      <c r="I37" s="227"/>
      <c r="J37" s="227"/>
      <c r="K37" s="227"/>
      <c r="L37" s="227"/>
      <c r="M37" s="226"/>
      <c r="N37" s="227"/>
      <c r="O37" s="227"/>
      <c r="P37" s="227"/>
      <c r="Q37" s="228"/>
      <c r="R37" s="225"/>
    </row>
    <row r="38" spans="1:18" ht="17.25" customHeight="1">
      <c r="A38" s="224" t="s">
        <v>570</v>
      </c>
      <c r="B38" s="225" t="s">
        <v>424</v>
      </c>
      <c r="C38" s="226"/>
      <c r="D38" s="227"/>
      <c r="E38" s="227"/>
      <c r="F38" s="227"/>
      <c r="G38" s="228"/>
      <c r="H38" s="226"/>
      <c r="I38" s="227"/>
      <c r="J38" s="227"/>
      <c r="K38" s="227"/>
      <c r="L38" s="227"/>
      <c r="M38" s="226"/>
      <c r="N38" s="227"/>
      <c r="O38" s="227"/>
      <c r="P38" s="227"/>
      <c r="Q38" s="228"/>
      <c r="R38" s="225"/>
    </row>
    <row r="39" spans="1:18" ht="5.25" customHeight="1">
      <c r="A39" s="204"/>
      <c r="B39" s="204"/>
      <c r="C39" s="229"/>
      <c r="D39" s="229"/>
      <c r="E39" s="229"/>
      <c r="F39" s="229"/>
      <c r="G39" s="229"/>
      <c r="H39" s="229"/>
      <c r="I39" s="229"/>
      <c r="J39" s="229"/>
      <c r="K39" s="229"/>
      <c r="L39" s="229"/>
      <c r="M39" s="229"/>
      <c r="N39" s="229"/>
      <c r="O39" s="229"/>
      <c r="P39" s="229"/>
      <c r="Q39" s="229"/>
      <c r="R39" s="204"/>
    </row>
    <row r="40" spans="1:18" s="216" customFormat="1" ht="17.25" customHeight="1">
      <c r="A40" s="210" t="s">
        <v>575</v>
      </c>
      <c r="B40" s="211"/>
      <c r="C40" s="212"/>
      <c r="D40" s="213"/>
      <c r="E40" s="213"/>
      <c r="F40" s="213"/>
      <c r="G40" s="214"/>
      <c r="H40" s="212"/>
      <c r="I40" s="213"/>
      <c r="J40" s="213"/>
      <c r="K40" s="213"/>
      <c r="L40" s="214"/>
      <c r="M40" s="212"/>
      <c r="N40" s="213"/>
      <c r="O40" s="213"/>
      <c r="P40" s="213"/>
      <c r="Q40" s="214"/>
      <c r="R40" s="215"/>
    </row>
    <row r="41" spans="1:18" s="223" customFormat="1" ht="17.25" customHeight="1">
      <c r="A41" s="217" t="s">
        <v>569</v>
      </c>
      <c r="B41" s="218"/>
      <c r="C41" s="219"/>
      <c r="D41" s="220"/>
      <c r="E41" s="220"/>
      <c r="F41" s="220"/>
      <c r="G41" s="221"/>
      <c r="H41" s="219"/>
      <c r="I41" s="220"/>
      <c r="J41" s="220"/>
      <c r="K41" s="220"/>
      <c r="L41" s="221"/>
      <c r="M41" s="219"/>
      <c r="N41" s="220"/>
      <c r="O41" s="220"/>
      <c r="P41" s="220"/>
      <c r="Q41" s="221"/>
      <c r="R41" s="222"/>
    </row>
    <row r="42" spans="1:18" ht="17.25" customHeight="1">
      <c r="A42" s="224" t="s">
        <v>570</v>
      </c>
      <c r="B42" s="225" t="s">
        <v>61</v>
      </c>
      <c r="C42" s="226"/>
      <c r="D42" s="227"/>
      <c r="E42" s="227"/>
      <c r="F42" s="227"/>
      <c r="G42" s="228"/>
      <c r="H42" s="226"/>
      <c r="I42" s="227"/>
      <c r="J42" s="227"/>
      <c r="K42" s="227"/>
      <c r="L42" s="227"/>
      <c r="M42" s="226"/>
      <c r="N42" s="227"/>
      <c r="O42" s="227"/>
      <c r="P42" s="227"/>
      <c r="Q42" s="228"/>
      <c r="R42" s="225"/>
    </row>
    <row r="43" spans="1:18" ht="17.25" customHeight="1">
      <c r="A43" s="224" t="s">
        <v>570</v>
      </c>
      <c r="B43" s="225" t="s">
        <v>31</v>
      </c>
      <c r="C43" s="226"/>
      <c r="D43" s="227"/>
      <c r="E43" s="227"/>
      <c r="F43" s="227"/>
      <c r="G43" s="228"/>
      <c r="H43" s="226"/>
      <c r="I43" s="227"/>
      <c r="J43" s="227"/>
      <c r="K43" s="227"/>
      <c r="L43" s="227"/>
      <c r="M43" s="226"/>
      <c r="N43" s="227"/>
      <c r="O43" s="227"/>
      <c r="P43" s="227"/>
      <c r="Q43" s="228"/>
      <c r="R43" s="225"/>
    </row>
    <row r="44" spans="1:18" ht="17.25" customHeight="1">
      <c r="A44" s="224" t="s">
        <v>570</v>
      </c>
      <c r="B44" s="225" t="s">
        <v>571</v>
      </c>
      <c r="C44" s="226"/>
      <c r="D44" s="227"/>
      <c r="E44" s="227"/>
      <c r="F44" s="227"/>
      <c r="G44" s="228"/>
      <c r="H44" s="226"/>
      <c r="I44" s="227"/>
      <c r="J44" s="227"/>
      <c r="K44" s="227"/>
      <c r="L44" s="227"/>
      <c r="M44" s="226"/>
      <c r="N44" s="227"/>
      <c r="O44" s="227"/>
      <c r="P44" s="227"/>
      <c r="Q44" s="228"/>
      <c r="R44" s="225"/>
    </row>
    <row r="45" spans="1:18" ht="17.25" customHeight="1">
      <c r="A45" s="224" t="s">
        <v>570</v>
      </c>
      <c r="B45" s="225" t="s">
        <v>34</v>
      </c>
      <c r="C45" s="226"/>
      <c r="D45" s="227"/>
      <c r="E45" s="227"/>
      <c r="F45" s="227"/>
      <c r="G45" s="228"/>
      <c r="H45" s="226"/>
      <c r="I45" s="227"/>
      <c r="J45" s="227"/>
      <c r="K45" s="227"/>
      <c r="L45" s="227"/>
      <c r="M45" s="226"/>
      <c r="N45" s="227"/>
      <c r="O45" s="227"/>
      <c r="P45" s="227"/>
      <c r="Q45" s="228"/>
      <c r="R45" s="225"/>
    </row>
    <row r="46" spans="1:18" ht="17.25" customHeight="1">
      <c r="A46" s="224" t="s">
        <v>570</v>
      </c>
      <c r="B46" s="225" t="s">
        <v>24</v>
      </c>
      <c r="C46" s="226"/>
      <c r="D46" s="227"/>
      <c r="E46" s="227"/>
      <c r="F46" s="227"/>
      <c r="G46" s="228"/>
      <c r="H46" s="226"/>
      <c r="I46" s="227"/>
      <c r="J46" s="227"/>
      <c r="K46" s="227"/>
      <c r="L46" s="227"/>
      <c r="M46" s="226"/>
      <c r="N46" s="227"/>
      <c r="O46" s="227"/>
      <c r="P46" s="227"/>
      <c r="Q46" s="228"/>
      <c r="R46" s="225"/>
    </row>
    <row r="47" spans="1:18" ht="17.25" customHeight="1">
      <c r="A47" s="224" t="s">
        <v>570</v>
      </c>
      <c r="B47" s="225" t="s">
        <v>424</v>
      </c>
      <c r="C47" s="226"/>
      <c r="D47" s="227"/>
      <c r="E47" s="227"/>
      <c r="F47" s="227"/>
      <c r="G47" s="228"/>
      <c r="H47" s="226"/>
      <c r="I47" s="227"/>
      <c r="J47" s="227"/>
      <c r="K47" s="227"/>
      <c r="L47" s="227"/>
      <c r="M47" s="226"/>
      <c r="N47" s="227"/>
      <c r="O47" s="227"/>
      <c r="P47" s="227"/>
      <c r="Q47" s="228"/>
      <c r="R47" s="225"/>
    </row>
    <row r="48" spans="1:18" ht="9" customHeight="1">
      <c r="A48" s="224"/>
      <c r="B48" s="225"/>
      <c r="C48" s="226"/>
      <c r="D48" s="227"/>
      <c r="E48" s="227"/>
      <c r="F48" s="227"/>
      <c r="G48" s="228"/>
      <c r="H48" s="226"/>
      <c r="I48" s="227"/>
      <c r="J48" s="227"/>
      <c r="K48" s="227"/>
      <c r="L48" s="228"/>
      <c r="M48" s="226"/>
      <c r="N48" s="227"/>
      <c r="O48" s="227"/>
      <c r="P48" s="227"/>
      <c r="Q48" s="228"/>
      <c r="R48" s="225"/>
    </row>
    <row r="49" spans="1:18" s="223" customFormat="1" ht="17.25" customHeight="1">
      <c r="A49" s="217" t="s">
        <v>576</v>
      </c>
      <c r="B49" s="218"/>
      <c r="C49" s="219"/>
      <c r="D49" s="220"/>
      <c r="E49" s="220"/>
      <c r="F49" s="220"/>
      <c r="G49" s="221"/>
      <c r="H49" s="219"/>
      <c r="I49" s="220"/>
      <c r="J49" s="220"/>
      <c r="K49" s="220"/>
      <c r="L49" s="221"/>
      <c r="M49" s="219"/>
      <c r="N49" s="220"/>
      <c r="O49" s="220"/>
      <c r="P49" s="220"/>
      <c r="Q49" s="221"/>
      <c r="R49" s="222"/>
    </row>
    <row r="50" spans="1:18" ht="17.25" customHeight="1">
      <c r="A50" s="224" t="s">
        <v>570</v>
      </c>
      <c r="B50" s="225" t="s">
        <v>577</v>
      </c>
      <c r="C50" s="226"/>
      <c r="D50" s="227"/>
      <c r="E50" s="227"/>
      <c r="F50" s="227"/>
      <c r="G50" s="228"/>
      <c r="H50" s="226"/>
      <c r="I50" s="227"/>
      <c r="J50" s="227"/>
      <c r="K50" s="227"/>
      <c r="L50" s="228"/>
      <c r="M50" s="226"/>
      <c r="N50" s="227"/>
      <c r="O50" s="227"/>
      <c r="P50" s="227"/>
      <c r="Q50" s="228"/>
      <c r="R50" s="225"/>
    </row>
    <row r="51" spans="1:18" ht="17.25" customHeight="1">
      <c r="A51" s="224" t="s">
        <v>570</v>
      </c>
      <c r="B51" s="225" t="s">
        <v>424</v>
      </c>
      <c r="C51" s="226"/>
      <c r="D51" s="227"/>
      <c r="E51" s="227"/>
      <c r="F51" s="227"/>
      <c r="G51" s="228"/>
      <c r="H51" s="226"/>
      <c r="I51" s="227"/>
      <c r="J51" s="227"/>
      <c r="K51" s="227"/>
      <c r="L51" s="228"/>
      <c r="M51" s="226"/>
      <c r="N51" s="227"/>
      <c r="O51" s="227"/>
      <c r="P51" s="227"/>
      <c r="Q51" s="228"/>
      <c r="R51" s="225"/>
    </row>
    <row r="52" spans="1:18" ht="5.25" customHeight="1" thickBot="1">
      <c r="A52" s="230"/>
      <c r="B52" s="231"/>
      <c r="C52" s="232"/>
      <c r="D52" s="233"/>
      <c r="E52" s="233"/>
      <c r="F52" s="233"/>
      <c r="G52" s="234"/>
      <c r="H52" s="232"/>
      <c r="I52" s="233"/>
      <c r="J52" s="233"/>
      <c r="K52" s="233"/>
      <c r="L52" s="234"/>
      <c r="M52" s="232"/>
      <c r="N52" s="233"/>
      <c r="O52" s="233"/>
      <c r="P52" s="233"/>
      <c r="Q52" s="234"/>
      <c r="R52" s="231"/>
    </row>
    <row r="53" spans="1:18">
      <c r="A53" s="204"/>
      <c r="B53" s="204"/>
      <c r="C53" s="204"/>
      <c r="D53" s="204"/>
      <c r="E53" s="204"/>
      <c r="F53" s="204"/>
      <c r="G53" s="204"/>
      <c r="H53" s="204"/>
      <c r="I53" s="204"/>
      <c r="J53" s="204"/>
      <c r="K53" s="204"/>
      <c r="L53" s="204"/>
      <c r="M53" s="204"/>
      <c r="N53" s="204"/>
      <c r="O53" s="204"/>
      <c r="P53" s="204"/>
      <c r="Q53" s="204"/>
      <c r="R53" s="204"/>
    </row>
    <row r="54" spans="1:18">
      <c r="A54" s="204"/>
      <c r="B54" s="204"/>
      <c r="C54" s="204"/>
      <c r="D54" s="204"/>
      <c r="E54" s="204"/>
      <c r="F54" s="204"/>
      <c r="G54" s="204"/>
      <c r="H54" s="204"/>
      <c r="I54" s="204"/>
      <c r="J54" s="204"/>
      <c r="K54" s="204"/>
      <c r="L54" s="204"/>
      <c r="M54" s="204"/>
      <c r="N54" s="204"/>
      <c r="O54" s="204"/>
      <c r="P54" s="204"/>
      <c r="Q54" s="204"/>
      <c r="R54" s="204"/>
    </row>
    <row r="55" spans="1:18">
      <c r="A55" s="204"/>
      <c r="B55" s="204"/>
      <c r="C55" s="204"/>
      <c r="D55" s="204"/>
      <c r="E55" s="204"/>
      <c r="F55" s="204"/>
      <c r="G55" s="204"/>
      <c r="H55" s="204"/>
      <c r="I55" s="204"/>
      <c r="J55" s="204"/>
      <c r="K55" s="204"/>
      <c r="L55" s="204"/>
      <c r="M55" s="204"/>
      <c r="N55" s="204"/>
      <c r="O55" s="204"/>
      <c r="P55" s="204"/>
      <c r="Q55" s="204"/>
      <c r="R55" s="204"/>
    </row>
    <row r="56" spans="1:18">
      <c r="A56" s="204"/>
      <c r="B56" s="204"/>
      <c r="C56" s="204"/>
      <c r="D56" s="204"/>
      <c r="E56" s="204"/>
      <c r="F56" s="204"/>
      <c r="G56" s="204"/>
      <c r="H56" s="204"/>
      <c r="I56" s="204"/>
      <c r="J56" s="204"/>
      <c r="K56" s="204"/>
      <c r="L56" s="204"/>
      <c r="M56" s="204"/>
      <c r="N56" s="204"/>
      <c r="O56" s="204"/>
      <c r="P56" s="204"/>
      <c r="Q56" s="204"/>
      <c r="R56" s="204"/>
    </row>
    <row r="57" spans="1:18">
      <c r="A57" s="204"/>
      <c r="B57" s="204"/>
      <c r="C57" s="204"/>
      <c r="D57" s="204"/>
      <c r="E57" s="204"/>
      <c r="F57" s="204"/>
      <c r="G57" s="204"/>
      <c r="H57" s="204"/>
      <c r="I57" s="204"/>
      <c r="J57" s="204"/>
      <c r="K57" s="204"/>
      <c r="L57" s="204"/>
      <c r="M57" s="204"/>
      <c r="N57" s="204"/>
      <c r="O57" s="204"/>
      <c r="P57" s="204"/>
      <c r="Q57" s="204"/>
      <c r="R57" s="204"/>
    </row>
    <row r="58" spans="1:18">
      <c r="A58" s="204"/>
      <c r="B58" s="204"/>
      <c r="C58" s="204"/>
      <c r="D58" s="204"/>
      <c r="E58" s="204"/>
      <c r="F58" s="204"/>
      <c r="G58" s="204"/>
      <c r="H58" s="204"/>
      <c r="I58" s="204"/>
      <c r="J58" s="204"/>
      <c r="K58" s="204"/>
      <c r="L58" s="204"/>
      <c r="M58" s="204"/>
      <c r="N58" s="204"/>
      <c r="O58" s="204"/>
      <c r="P58" s="204"/>
      <c r="Q58" s="204"/>
      <c r="R58" s="204"/>
    </row>
    <row r="59" spans="1:18">
      <c r="A59" s="204"/>
      <c r="B59" s="204"/>
      <c r="C59" s="204"/>
      <c r="D59" s="204"/>
      <c r="E59" s="204"/>
      <c r="F59" s="204"/>
      <c r="G59" s="204"/>
      <c r="H59" s="204"/>
      <c r="I59" s="204"/>
      <c r="J59" s="204"/>
      <c r="K59" s="204"/>
      <c r="L59" s="204"/>
      <c r="M59" s="204"/>
      <c r="N59" s="204"/>
      <c r="O59" s="204"/>
      <c r="P59" s="204"/>
      <c r="Q59" s="204"/>
      <c r="R59" s="204"/>
    </row>
    <row r="60" spans="1:18">
      <c r="A60" s="204"/>
      <c r="B60" s="204"/>
      <c r="C60" s="204"/>
      <c r="D60" s="204"/>
      <c r="E60" s="204"/>
      <c r="F60" s="204"/>
      <c r="G60" s="204"/>
      <c r="H60" s="204"/>
      <c r="I60" s="204"/>
      <c r="J60" s="204"/>
      <c r="K60" s="204"/>
      <c r="L60" s="204"/>
      <c r="M60" s="204"/>
      <c r="N60" s="204"/>
      <c r="O60" s="204"/>
      <c r="P60" s="204"/>
      <c r="Q60" s="204"/>
      <c r="R60" s="204"/>
    </row>
    <row r="61" spans="1:18">
      <c r="A61" s="204"/>
      <c r="B61" s="204"/>
      <c r="C61" s="204"/>
      <c r="D61" s="204"/>
      <c r="E61" s="204"/>
      <c r="F61" s="204"/>
      <c r="G61" s="204"/>
      <c r="H61" s="204"/>
      <c r="I61" s="204"/>
      <c r="J61" s="204"/>
      <c r="K61" s="204"/>
      <c r="L61" s="204"/>
      <c r="M61" s="204"/>
      <c r="N61" s="204"/>
      <c r="O61" s="204"/>
      <c r="P61" s="204"/>
      <c r="Q61" s="204"/>
      <c r="R61" s="204"/>
    </row>
    <row r="62" spans="1:18">
      <c r="A62" s="204"/>
      <c r="B62" s="204"/>
      <c r="C62" s="204"/>
      <c r="D62" s="204"/>
      <c r="E62" s="204"/>
      <c r="F62" s="204"/>
      <c r="G62" s="204"/>
      <c r="H62" s="204"/>
      <c r="I62" s="204"/>
      <c r="J62" s="204"/>
      <c r="K62" s="204"/>
      <c r="L62" s="204"/>
      <c r="M62" s="204"/>
      <c r="N62" s="204"/>
      <c r="O62" s="204"/>
      <c r="P62" s="204"/>
      <c r="Q62" s="204"/>
      <c r="R62" s="204"/>
    </row>
    <row r="63" spans="1:18">
      <c r="A63" s="204"/>
      <c r="B63" s="204"/>
      <c r="C63" s="204"/>
      <c r="D63" s="204"/>
      <c r="E63" s="204"/>
      <c r="F63" s="204"/>
      <c r="G63" s="204"/>
      <c r="H63" s="204"/>
      <c r="I63" s="204"/>
      <c r="J63" s="204"/>
      <c r="K63" s="204"/>
      <c r="L63" s="204"/>
      <c r="M63" s="204"/>
      <c r="N63" s="204"/>
      <c r="O63" s="204"/>
      <c r="P63" s="204"/>
      <c r="Q63" s="204"/>
      <c r="R63" s="204"/>
    </row>
    <row r="64" spans="1:18">
      <c r="A64" s="204"/>
      <c r="B64" s="204"/>
      <c r="C64" s="204"/>
      <c r="D64" s="204"/>
      <c r="E64" s="204"/>
      <c r="F64" s="204"/>
      <c r="G64" s="204"/>
      <c r="H64" s="204"/>
      <c r="I64" s="204"/>
      <c r="J64" s="204"/>
      <c r="K64" s="204"/>
      <c r="L64" s="204"/>
      <c r="M64" s="204"/>
      <c r="N64" s="204"/>
      <c r="O64" s="204"/>
      <c r="P64" s="204"/>
      <c r="Q64" s="204"/>
      <c r="R64" s="204"/>
    </row>
    <row r="65" spans="1:18">
      <c r="A65" s="204"/>
      <c r="B65" s="204"/>
      <c r="C65" s="204"/>
      <c r="D65" s="204"/>
      <c r="E65" s="204"/>
      <c r="F65" s="204"/>
      <c r="G65" s="204"/>
      <c r="H65" s="204"/>
      <c r="I65" s="204"/>
      <c r="J65" s="204"/>
      <c r="K65" s="204"/>
      <c r="L65" s="204"/>
      <c r="M65" s="204"/>
      <c r="N65" s="204"/>
      <c r="O65" s="204"/>
      <c r="P65" s="204"/>
      <c r="Q65" s="204"/>
      <c r="R65" s="204"/>
    </row>
    <row r="66" spans="1:18">
      <c r="A66" s="204"/>
      <c r="B66" s="204"/>
      <c r="C66" s="204"/>
      <c r="D66" s="204"/>
      <c r="E66" s="204"/>
      <c r="F66" s="204"/>
      <c r="G66" s="204"/>
      <c r="H66" s="204"/>
      <c r="I66" s="204"/>
      <c r="J66" s="204"/>
      <c r="K66" s="204"/>
      <c r="L66" s="204"/>
      <c r="M66" s="204"/>
      <c r="N66" s="204"/>
      <c r="O66" s="204"/>
      <c r="P66" s="204"/>
      <c r="Q66" s="204"/>
      <c r="R66" s="204"/>
    </row>
    <row r="67" spans="1:18">
      <c r="A67" s="204"/>
      <c r="B67" s="204"/>
      <c r="C67" s="204"/>
      <c r="D67" s="204"/>
      <c r="E67" s="204"/>
      <c r="F67" s="204"/>
      <c r="G67" s="204"/>
      <c r="H67" s="204"/>
      <c r="I67" s="204"/>
      <c r="J67" s="204"/>
      <c r="K67" s="204"/>
      <c r="L67" s="204"/>
      <c r="M67" s="204"/>
      <c r="N67" s="204"/>
      <c r="O67" s="204"/>
      <c r="P67" s="204"/>
      <c r="Q67" s="204"/>
      <c r="R67" s="204"/>
    </row>
    <row r="68" spans="1:18">
      <c r="A68" s="204"/>
      <c r="B68" s="204"/>
      <c r="C68" s="204"/>
      <c r="D68" s="204"/>
      <c r="E68" s="204"/>
      <c r="F68" s="204"/>
      <c r="G68" s="204"/>
      <c r="H68" s="204"/>
      <c r="I68" s="204"/>
      <c r="J68" s="204"/>
      <c r="K68" s="204"/>
      <c r="L68" s="204"/>
      <c r="M68" s="204"/>
      <c r="N68" s="204"/>
      <c r="O68" s="204"/>
      <c r="P68" s="204"/>
      <c r="Q68" s="204"/>
      <c r="R68" s="204"/>
    </row>
    <row r="69" spans="1:18">
      <c r="A69" s="204"/>
      <c r="B69" s="204"/>
      <c r="C69" s="204"/>
      <c r="D69" s="204"/>
      <c r="E69" s="204"/>
      <c r="F69" s="204"/>
      <c r="G69" s="204"/>
      <c r="H69" s="204"/>
      <c r="I69" s="204"/>
      <c r="J69" s="204"/>
      <c r="K69" s="204"/>
      <c r="L69" s="204"/>
      <c r="M69" s="204"/>
      <c r="N69" s="204"/>
      <c r="O69" s="204"/>
      <c r="P69" s="204"/>
      <c r="Q69" s="204"/>
      <c r="R69" s="204"/>
    </row>
  </sheetData>
  <mergeCells count="7">
    <mergeCell ref="A8:B8"/>
    <mergeCell ref="C1:Q2"/>
    <mergeCell ref="A4:B6"/>
    <mergeCell ref="R4:R6"/>
    <mergeCell ref="C5:G5"/>
    <mergeCell ref="H5:L5"/>
    <mergeCell ref="M5:Q5"/>
  </mergeCells>
  <printOptions horizontalCentered="1"/>
  <pageMargins left="0.15748031496062992" right="0.15748031496062992" top="0.15748031496062992" bottom="0.19685039370078741" header="0.15748031496062992" footer="0.15748031496062992"/>
  <pageSetup paperSize="9" scale="9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9"/>
  </sheetPr>
  <dimension ref="B1:Y413"/>
  <sheetViews>
    <sheetView showGridLines="0" zoomScaleNormal="100" zoomScaleSheetLayoutView="100" workbookViewId="0">
      <pane xSplit="6" ySplit="9" topLeftCell="G10" activePane="bottomRight" state="frozen"/>
      <selection activeCell="C20" sqref="C20:L20"/>
      <selection pane="topRight" activeCell="C20" sqref="C20:L20"/>
      <selection pane="bottomLeft" activeCell="C20" sqref="C20:L20"/>
      <selection pane="bottomRight" activeCell="G30" sqref="G30"/>
    </sheetView>
  </sheetViews>
  <sheetFormatPr defaultColWidth="9.140625" defaultRowHeight="12.75"/>
  <cols>
    <col min="1" max="1" width="1.85546875" style="1" customWidth="1"/>
    <col min="2" max="2" width="13.85546875" style="1" hidden="1" customWidth="1"/>
    <col min="3" max="3" width="4.140625" style="1" customWidth="1"/>
    <col min="4" max="4" width="10.85546875" style="1" customWidth="1"/>
    <col min="5" max="5" width="18.140625" style="1" customWidth="1"/>
    <col min="6" max="6" width="8" style="7" customWidth="1"/>
    <col min="7" max="7" width="7.7109375" style="2" customWidth="1"/>
    <col min="8" max="8" width="6.7109375" style="8" customWidth="1"/>
    <col min="9" max="9" width="20.5703125" style="9" customWidth="1"/>
    <col min="10" max="10" width="7.7109375" style="2" customWidth="1"/>
    <col min="11" max="11" width="1" style="1" customWidth="1"/>
    <col min="12" max="12" width="7.5703125" style="1" customWidth="1"/>
    <col min="13" max="13" width="7.140625" style="1" customWidth="1"/>
    <col min="14" max="14" width="8" style="1" customWidth="1"/>
    <col min="15" max="15" width="6.85546875" style="2" customWidth="1"/>
    <col min="16" max="16" width="1" style="1" customWidth="1"/>
    <col min="17" max="17" width="6.85546875" style="2" customWidth="1"/>
    <col min="18" max="18" width="18.5703125" style="1" customWidth="1"/>
    <col min="19" max="19" width="1" style="1" customWidth="1"/>
    <col min="20" max="20" width="6.7109375" style="8" customWidth="1"/>
    <col min="21" max="21" width="25.140625" style="9" customWidth="1"/>
    <col min="22" max="16384" width="9.140625" style="1"/>
  </cols>
  <sheetData>
    <row r="1" spans="2:25" ht="21.6" customHeight="1">
      <c r="C1" s="2"/>
      <c r="E1" s="271" t="s">
        <v>0</v>
      </c>
      <c r="F1" s="271"/>
      <c r="G1" s="271"/>
      <c r="H1" s="271"/>
      <c r="I1" s="271"/>
      <c r="J1" s="271"/>
      <c r="K1" s="271"/>
      <c r="L1" s="271"/>
      <c r="M1" s="271"/>
      <c r="N1" s="271"/>
      <c r="O1" s="271"/>
      <c r="P1" s="271"/>
      <c r="Q1" s="271"/>
      <c r="R1" s="271"/>
      <c r="S1" s="271"/>
      <c r="T1" s="271"/>
      <c r="U1" s="3" t="s">
        <v>1</v>
      </c>
    </row>
    <row r="2" spans="2:25" ht="15" customHeight="1">
      <c r="C2" s="4"/>
      <c r="E2" s="271"/>
      <c r="F2" s="271"/>
      <c r="G2" s="271"/>
      <c r="H2" s="271"/>
      <c r="I2" s="271"/>
      <c r="J2" s="271"/>
      <c r="K2" s="271"/>
      <c r="L2" s="271"/>
      <c r="M2" s="271"/>
      <c r="N2" s="271"/>
      <c r="O2" s="271"/>
      <c r="P2" s="271"/>
      <c r="Q2" s="271"/>
      <c r="R2" s="271"/>
      <c r="S2" s="271"/>
      <c r="T2" s="271"/>
      <c r="U2" s="3"/>
    </row>
    <row r="3" spans="2:25" ht="15.75">
      <c r="C3" s="5"/>
      <c r="D3" s="6"/>
      <c r="E3" s="272" t="s">
        <v>582</v>
      </c>
      <c r="F3" s="272"/>
      <c r="G3" s="272"/>
      <c r="H3" s="272"/>
      <c r="I3" s="272"/>
      <c r="J3" s="272"/>
      <c r="K3" s="272"/>
      <c r="L3" s="272"/>
      <c r="M3" s="272"/>
      <c r="N3" s="272"/>
      <c r="O3" s="272"/>
      <c r="P3" s="272"/>
      <c r="Q3" s="272"/>
      <c r="R3" s="272"/>
      <c r="S3" s="272"/>
      <c r="T3" s="272"/>
      <c r="U3" s="1"/>
    </row>
    <row r="4" spans="2:25" ht="14.25" hidden="1" customHeight="1"/>
    <row r="5" spans="2:25" s="10" customFormat="1" ht="17.25" customHeight="1">
      <c r="C5" s="273" t="s">
        <v>2</v>
      </c>
      <c r="D5" s="275" t="s">
        <v>3</v>
      </c>
      <c r="E5" s="275" t="s">
        <v>4</v>
      </c>
      <c r="F5" s="277" t="s">
        <v>5</v>
      </c>
      <c r="G5" s="279" t="s">
        <v>6</v>
      </c>
      <c r="H5" s="275" t="s">
        <v>585</v>
      </c>
      <c r="I5" s="277"/>
      <c r="J5" s="279" t="s">
        <v>7</v>
      </c>
      <c r="K5" s="11"/>
      <c r="L5" s="12" t="s">
        <v>8</v>
      </c>
      <c r="M5" s="13"/>
      <c r="N5" s="13"/>
      <c r="O5" s="13"/>
      <c r="P5" s="14"/>
      <c r="Q5" s="279" t="s">
        <v>586</v>
      </c>
      <c r="R5" s="263" t="s">
        <v>579</v>
      </c>
      <c r="S5" s="11"/>
      <c r="T5" s="265" t="s">
        <v>578</v>
      </c>
      <c r="U5" s="266"/>
    </row>
    <row r="6" spans="2:25" s="10" customFormat="1" ht="45" customHeight="1">
      <c r="C6" s="274"/>
      <c r="D6" s="276"/>
      <c r="E6" s="276"/>
      <c r="F6" s="278"/>
      <c r="G6" s="280"/>
      <c r="H6" s="276"/>
      <c r="I6" s="278"/>
      <c r="J6" s="280"/>
      <c r="K6" s="15"/>
      <c r="L6" s="16" t="s">
        <v>9</v>
      </c>
      <c r="M6" s="16" t="s">
        <v>10</v>
      </c>
      <c r="N6" s="16" t="s">
        <v>11</v>
      </c>
      <c r="O6" s="16" t="s">
        <v>12</v>
      </c>
      <c r="P6" s="17"/>
      <c r="Q6" s="280"/>
      <c r="R6" s="264"/>
      <c r="S6" s="15"/>
      <c r="T6" s="267"/>
      <c r="U6" s="268"/>
      <c r="W6" s="18"/>
      <c r="Y6" s="19"/>
    </row>
    <row r="7" spans="2:25" ht="6" customHeight="1">
      <c r="C7" s="20"/>
      <c r="D7" s="20"/>
      <c r="E7" s="20"/>
      <c r="F7" s="20"/>
      <c r="G7" s="21"/>
      <c r="H7" s="22"/>
      <c r="I7" s="23"/>
      <c r="J7" s="21"/>
      <c r="K7" s="24"/>
      <c r="L7" s="20"/>
      <c r="M7" s="20"/>
      <c r="N7" s="20"/>
      <c r="O7" s="21"/>
      <c r="P7" s="24"/>
      <c r="Q7" s="21"/>
      <c r="R7" s="20"/>
      <c r="S7" s="24"/>
      <c r="T7" s="22"/>
      <c r="U7" s="23"/>
    </row>
    <row r="8" spans="2:25" ht="24" customHeight="1">
      <c r="B8" s="25">
        <f>SUBTOTAL(3,B9:B405)</f>
        <v>0</v>
      </c>
      <c r="C8" s="26" t="s">
        <v>13</v>
      </c>
      <c r="D8" s="27"/>
      <c r="E8" s="27"/>
      <c r="F8" s="28">
        <f>COUNTA(E10:E403)</f>
        <v>372</v>
      </c>
      <c r="G8" s="29"/>
      <c r="H8" s="30"/>
      <c r="I8" s="31"/>
      <c r="J8" s="29"/>
      <c r="K8" s="32"/>
      <c r="L8" s="27"/>
      <c r="M8" s="28"/>
      <c r="N8" s="28"/>
      <c r="O8" s="29"/>
      <c r="P8" s="32"/>
      <c r="Q8" s="29"/>
      <c r="R8" s="33"/>
      <c r="S8" s="32"/>
      <c r="T8" s="30"/>
      <c r="U8" s="34"/>
      <c r="V8" s="25"/>
    </row>
    <row r="9" spans="2:25" ht="6" customHeight="1">
      <c r="C9" s="7"/>
      <c r="D9" s="8"/>
      <c r="E9" s="7"/>
      <c r="G9" s="35"/>
      <c r="J9" s="35"/>
      <c r="K9" s="24"/>
      <c r="L9" s="7"/>
      <c r="M9" s="8"/>
      <c r="N9" s="7"/>
      <c r="O9" s="35" t="s">
        <v>14</v>
      </c>
      <c r="P9" s="24"/>
      <c r="Q9" s="35"/>
      <c r="R9" s="7"/>
      <c r="S9" s="24"/>
    </row>
    <row r="10" spans="2:25" ht="21.75" customHeight="1">
      <c r="C10" s="36" t="s">
        <v>587</v>
      </c>
      <c r="D10" s="37"/>
      <c r="E10" s="38"/>
      <c r="F10" s="38"/>
      <c r="G10" s="38"/>
      <c r="H10" s="38"/>
      <c r="I10" s="38"/>
      <c r="J10" s="38"/>
      <c r="K10" s="32"/>
      <c r="L10" s="38"/>
      <c r="M10" s="37"/>
      <c r="N10" s="37"/>
      <c r="O10" s="38"/>
      <c r="P10" s="32"/>
      <c r="Q10" s="38"/>
      <c r="R10" s="39"/>
      <c r="S10" s="32"/>
      <c r="T10" s="38"/>
      <c r="U10" s="40"/>
    </row>
    <row r="11" spans="2:25" s="41" customFormat="1" ht="20.25" customHeight="1">
      <c r="C11" s="42">
        <f>+IF(E11&lt;&gt;0,MAX($C$1:C10)+1,"")</f>
        <v>1</v>
      </c>
      <c r="D11" s="43">
        <v>109307001</v>
      </c>
      <c r="E11" s="44" t="s">
        <v>15</v>
      </c>
      <c r="F11" s="45" t="s">
        <v>16</v>
      </c>
      <c r="G11" s="46">
        <v>34151</v>
      </c>
      <c r="H11" s="47" t="s">
        <v>17</v>
      </c>
      <c r="I11" s="48" t="s">
        <v>621</v>
      </c>
      <c r="J11" s="46"/>
      <c r="K11" s="49"/>
      <c r="L11" s="50"/>
      <c r="M11" s="50"/>
      <c r="N11" s="50"/>
      <c r="O11" s="51"/>
      <c r="P11" s="49"/>
      <c r="Q11" s="51"/>
      <c r="R11" s="52"/>
      <c r="S11" s="49"/>
      <c r="T11" s="53"/>
      <c r="U11" s="48"/>
      <c r="V11" s="54"/>
    </row>
    <row r="12" spans="2:25" s="41" customFormat="1" ht="20.25" customHeight="1">
      <c r="C12" s="42">
        <f>+IF(E12&lt;&gt;0,MAX($C$1:C11)+1,"")</f>
        <v>2</v>
      </c>
      <c r="D12" s="43">
        <v>100407001</v>
      </c>
      <c r="E12" s="44" t="s">
        <v>19</v>
      </c>
      <c r="F12" s="45" t="s">
        <v>20</v>
      </c>
      <c r="G12" s="46">
        <v>38196</v>
      </c>
      <c r="H12" s="47" t="s">
        <v>21</v>
      </c>
      <c r="I12" s="48" t="s">
        <v>587</v>
      </c>
      <c r="J12" s="46"/>
      <c r="K12" s="49"/>
      <c r="L12" s="50"/>
      <c r="M12" s="50"/>
      <c r="N12" s="50"/>
      <c r="O12" s="51"/>
      <c r="P12" s="49"/>
      <c r="Q12" s="51"/>
      <c r="R12" s="52"/>
      <c r="S12" s="49"/>
      <c r="T12" s="53"/>
      <c r="U12" s="48"/>
      <c r="V12" s="54"/>
    </row>
    <row r="13" spans="2:25" s="41" customFormat="1" ht="20.25" customHeight="1">
      <c r="B13" s="1"/>
      <c r="C13" s="242" t="s">
        <v>674</v>
      </c>
      <c r="D13" s="243"/>
      <c r="E13" s="244"/>
      <c r="F13" s="245"/>
      <c r="G13" s="246"/>
      <c r="H13" s="244"/>
      <c r="I13" s="245"/>
      <c r="J13" s="246"/>
      <c r="K13" s="32"/>
      <c r="L13" s="246"/>
      <c r="M13" s="243"/>
      <c r="N13" s="243"/>
      <c r="O13" s="246"/>
      <c r="P13" s="32"/>
      <c r="Q13" s="246"/>
      <c r="R13" s="247"/>
      <c r="S13" s="32"/>
      <c r="T13" s="248"/>
      <c r="U13" s="245"/>
      <c r="V13" s="54"/>
      <c r="W13" s="1"/>
      <c r="X13" s="1"/>
      <c r="Y13" s="1"/>
    </row>
    <row r="14" spans="2:25" s="41" customFormat="1" ht="20.25" customHeight="1">
      <c r="C14" s="42">
        <f>+IF(E14&lt;&gt;0,MAX($C$1:C12)+1,"")</f>
        <v>3</v>
      </c>
      <c r="D14" s="43">
        <v>109307030</v>
      </c>
      <c r="E14" s="44" t="s">
        <v>47</v>
      </c>
      <c r="F14" s="45" t="s">
        <v>48</v>
      </c>
      <c r="G14" s="46">
        <v>34152</v>
      </c>
      <c r="H14" s="47" t="s">
        <v>34</v>
      </c>
      <c r="I14" s="48" t="s">
        <v>622</v>
      </c>
      <c r="J14" s="46"/>
      <c r="K14" s="49"/>
      <c r="L14" s="50"/>
      <c r="M14" s="50"/>
      <c r="N14" s="50"/>
      <c r="O14" s="51"/>
      <c r="P14" s="49"/>
      <c r="Q14" s="51"/>
      <c r="R14" s="52"/>
      <c r="S14" s="49"/>
      <c r="T14" s="53"/>
      <c r="U14" s="48"/>
      <c r="V14" s="54"/>
    </row>
    <row r="15" spans="2:25" s="41" customFormat="1" ht="20.25" customHeight="1">
      <c r="B15" s="1"/>
      <c r="C15" s="242" t="s">
        <v>623</v>
      </c>
      <c r="D15" s="243"/>
      <c r="E15" s="244"/>
      <c r="F15" s="245"/>
      <c r="G15" s="246"/>
      <c r="H15" s="244"/>
      <c r="I15" s="245"/>
      <c r="J15" s="246"/>
      <c r="K15" s="32"/>
      <c r="L15" s="246"/>
      <c r="M15" s="243"/>
      <c r="N15" s="243"/>
      <c r="O15" s="246"/>
      <c r="P15" s="32"/>
      <c r="Q15" s="246"/>
      <c r="R15" s="247"/>
      <c r="S15" s="32"/>
      <c r="T15" s="248"/>
      <c r="U15" s="245"/>
      <c r="V15" s="54"/>
      <c r="W15" s="1"/>
      <c r="X15" s="1"/>
      <c r="Y15" s="1"/>
    </row>
    <row r="16" spans="2:25" s="41" customFormat="1" ht="20.25" customHeight="1">
      <c r="C16" s="42">
        <f>+IF(E16&lt;&gt;0,MAX($C$1:C14)+1,"")</f>
        <v>4</v>
      </c>
      <c r="D16" s="43">
        <v>300107001</v>
      </c>
      <c r="E16" s="44" t="s">
        <v>150</v>
      </c>
      <c r="F16" s="45" t="s">
        <v>341</v>
      </c>
      <c r="G16" s="46">
        <v>37074</v>
      </c>
      <c r="H16" s="47" t="s">
        <v>52</v>
      </c>
      <c r="I16" s="48" t="s">
        <v>623</v>
      </c>
      <c r="J16" s="46"/>
      <c r="K16" s="49"/>
      <c r="L16" s="50"/>
      <c r="M16" s="50"/>
      <c r="N16" s="50"/>
      <c r="O16" s="51"/>
      <c r="P16" s="49"/>
      <c r="Q16" s="51"/>
      <c r="R16" s="52"/>
      <c r="S16" s="49"/>
      <c r="T16" s="53"/>
      <c r="U16" s="48"/>
      <c r="V16" s="54"/>
    </row>
    <row r="17" spans="2:25" s="41" customFormat="1" ht="20.25" customHeight="1">
      <c r="C17" s="42">
        <f>+IF(E17&lt;&gt;0,MAX($C$1:C16)+1,"")</f>
        <v>5</v>
      </c>
      <c r="D17" s="43">
        <v>109307008</v>
      </c>
      <c r="E17" s="44" t="s">
        <v>342</v>
      </c>
      <c r="F17" s="45" t="s">
        <v>295</v>
      </c>
      <c r="G17" s="46">
        <v>34175</v>
      </c>
      <c r="H17" s="47" t="s">
        <v>52</v>
      </c>
      <c r="I17" s="48" t="s">
        <v>623</v>
      </c>
      <c r="J17" s="46"/>
      <c r="K17" s="49"/>
      <c r="L17" s="50"/>
      <c r="M17" s="50"/>
      <c r="N17" s="50"/>
      <c r="O17" s="51"/>
      <c r="P17" s="49"/>
      <c r="Q17" s="51"/>
      <c r="R17" s="52"/>
      <c r="S17" s="49"/>
      <c r="T17" s="53"/>
      <c r="U17" s="48"/>
      <c r="V17" s="54"/>
    </row>
    <row r="18" spans="2:25" s="41" customFormat="1" ht="20.25" customHeight="1">
      <c r="B18" s="1"/>
      <c r="C18" s="242" t="s">
        <v>49</v>
      </c>
      <c r="D18" s="243"/>
      <c r="E18" s="244"/>
      <c r="F18" s="245"/>
      <c r="G18" s="246"/>
      <c r="H18" s="244"/>
      <c r="I18" s="245"/>
      <c r="J18" s="246"/>
      <c r="K18" s="32"/>
      <c r="L18" s="246"/>
      <c r="M18" s="243"/>
      <c r="N18" s="243"/>
      <c r="O18" s="246"/>
      <c r="P18" s="32"/>
      <c r="Q18" s="246"/>
      <c r="R18" s="247"/>
      <c r="S18" s="32"/>
      <c r="T18" s="248"/>
      <c r="U18" s="245"/>
      <c r="V18" s="54"/>
      <c r="W18" s="1"/>
      <c r="X18" s="1"/>
      <c r="Y18" s="1"/>
    </row>
    <row r="19" spans="2:25" s="41" customFormat="1" ht="20.25" customHeight="1">
      <c r="C19" s="42">
        <f>+IF(E19&lt;&gt;0,MAX($C$1:C17)+1,"")</f>
        <v>6</v>
      </c>
      <c r="D19" s="43">
        <v>109506001</v>
      </c>
      <c r="E19" s="44" t="s">
        <v>50</v>
      </c>
      <c r="F19" s="45" t="s">
        <v>51</v>
      </c>
      <c r="G19" s="46">
        <v>34851</v>
      </c>
      <c r="H19" s="47" t="s">
        <v>21</v>
      </c>
      <c r="I19" s="48" t="s">
        <v>624</v>
      </c>
      <c r="J19" s="46"/>
      <c r="K19" s="49"/>
      <c r="L19" s="50"/>
      <c r="M19" s="50"/>
      <c r="N19" s="50"/>
      <c r="O19" s="51"/>
      <c r="P19" s="49"/>
      <c r="Q19" s="51"/>
      <c r="R19" s="52"/>
      <c r="S19" s="49"/>
      <c r="T19" s="53"/>
      <c r="U19" s="48"/>
      <c r="V19" s="54"/>
    </row>
    <row r="20" spans="2:25" s="41" customFormat="1" ht="20.25" customHeight="1">
      <c r="C20" s="42">
        <f>+IF(E20&lt;&gt;0,MAX($C$1:C19)+1,"")</f>
        <v>7</v>
      </c>
      <c r="D20" s="43">
        <v>101509002</v>
      </c>
      <c r="E20" s="44" t="s">
        <v>62</v>
      </c>
      <c r="F20" s="45" t="s">
        <v>63</v>
      </c>
      <c r="G20" s="46">
        <v>42255</v>
      </c>
      <c r="H20" s="47" t="s">
        <v>24</v>
      </c>
      <c r="I20" s="48" t="s">
        <v>625</v>
      </c>
      <c r="J20" s="46"/>
      <c r="K20" s="49"/>
      <c r="L20" s="50"/>
      <c r="M20" s="50"/>
      <c r="N20" s="50"/>
      <c r="O20" s="51"/>
      <c r="P20" s="49"/>
      <c r="Q20" s="51"/>
      <c r="R20" s="52"/>
      <c r="S20" s="49"/>
      <c r="T20" s="53"/>
      <c r="U20" s="48"/>
      <c r="V20" s="54"/>
    </row>
    <row r="21" spans="2:25" s="41" customFormat="1" ht="20.25" customHeight="1">
      <c r="C21" s="42">
        <f>+IF(E21&lt;&gt;0,MAX($C$1:C20)+1,"")</f>
        <v>8</v>
      </c>
      <c r="D21" s="43">
        <v>101504003</v>
      </c>
      <c r="E21" s="44" t="s">
        <v>59</v>
      </c>
      <c r="F21" s="45" t="s">
        <v>60</v>
      </c>
      <c r="G21" s="46">
        <v>42102</v>
      </c>
      <c r="H21" s="47" t="s">
        <v>61</v>
      </c>
      <c r="I21" s="48" t="s">
        <v>624</v>
      </c>
      <c r="J21" s="46"/>
      <c r="K21" s="49"/>
      <c r="L21" s="50"/>
      <c r="M21" s="50"/>
      <c r="N21" s="50"/>
      <c r="O21" s="51"/>
      <c r="P21" s="49"/>
      <c r="Q21" s="51"/>
      <c r="R21" s="52"/>
      <c r="S21" s="49"/>
      <c r="T21" s="53"/>
      <c r="U21" s="48"/>
      <c r="V21" s="54"/>
    </row>
    <row r="22" spans="2:25" s="41" customFormat="1" ht="20.25" customHeight="1">
      <c r="C22" s="42">
        <f>+IF(E22&lt;&gt;0,MAX($C$1:C21)+1,"")</f>
        <v>9</v>
      </c>
      <c r="D22" s="43">
        <v>100001001</v>
      </c>
      <c r="E22" s="44" t="s">
        <v>66</v>
      </c>
      <c r="F22" s="45" t="s">
        <v>67</v>
      </c>
      <c r="G22" s="46">
        <v>36526</v>
      </c>
      <c r="H22" s="47" t="s">
        <v>24</v>
      </c>
      <c r="I22" s="48" t="s">
        <v>625</v>
      </c>
      <c r="J22" s="46"/>
      <c r="K22" s="49"/>
      <c r="L22" s="50"/>
      <c r="M22" s="50"/>
      <c r="N22" s="50"/>
      <c r="O22" s="51"/>
      <c r="P22" s="49"/>
      <c r="Q22" s="51"/>
      <c r="R22" s="52"/>
      <c r="S22" s="49"/>
      <c r="T22" s="53"/>
      <c r="U22" s="48"/>
      <c r="V22" s="54"/>
    </row>
    <row r="23" spans="2:25" s="41" customFormat="1" ht="20.25" customHeight="1">
      <c r="C23" s="42">
        <f>+IF(E23&lt;&gt;0,MAX($C$1:C22)+1,"")</f>
        <v>10</v>
      </c>
      <c r="D23" s="43">
        <v>100910002</v>
      </c>
      <c r="E23" s="44" t="s">
        <v>64</v>
      </c>
      <c r="F23" s="45" t="s">
        <v>65</v>
      </c>
      <c r="G23" s="46">
        <v>40098</v>
      </c>
      <c r="H23" s="47" t="s">
        <v>24</v>
      </c>
      <c r="I23" s="48" t="s">
        <v>625</v>
      </c>
      <c r="J23" s="46"/>
      <c r="K23" s="49"/>
      <c r="L23" s="50"/>
      <c r="M23" s="50"/>
      <c r="N23" s="50"/>
      <c r="O23" s="51"/>
      <c r="P23" s="49"/>
      <c r="Q23" s="51"/>
      <c r="R23" s="52"/>
      <c r="S23" s="49"/>
      <c r="T23" s="53"/>
      <c r="U23" s="48"/>
      <c r="V23" s="54"/>
    </row>
    <row r="24" spans="2:25" s="41" customFormat="1" ht="20.25" customHeight="1">
      <c r="C24" s="42">
        <f>+IF(E24&lt;&gt;0,MAX($C$1:C23)+1,"")</f>
        <v>11</v>
      </c>
      <c r="D24" s="43">
        <v>602205008</v>
      </c>
      <c r="E24" s="44" t="s">
        <v>55</v>
      </c>
      <c r="F24" s="45" t="s">
        <v>23</v>
      </c>
      <c r="G24" s="46">
        <v>44686</v>
      </c>
      <c r="H24" s="47" t="s">
        <v>24</v>
      </c>
      <c r="I24" s="48" t="s">
        <v>625</v>
      </c>
      <c r="J24" s="46"/>
      <c r="K24" s="49"/>
      <c r="L24" s="50"/>
      <c r="M24" s="50"/>
      <c r="N24" s="50"/>
      <c r="O24" s="51"/>
      <c r="P24" s="49"/>
      <c r="Q24" s="51"/>
      <c r="R24" s="52"/>
      <c r="S24" s="49"/>
      <c r="T24" s="53"/>
      <c r="U24" s="48"/>
      <c r="V24" s="54"/>
    </row>
    <row r="25" spans="2:25" s="41" customFormat="1" ht="20.25" customHeight="1">
      <c r="B25" s="1"/>
      <c r="C25" s="242" t="s">
        <v>68</v>
      </c>
      <c r="D25" s="243"/>
      <c r="E25" s="244"/>
      <c r="F25" s="245"/>
      <c r="G25" s="246"/>
      <c r="H25" s="244"/>
      <c r="I25" s="245"/>
      <c r="J25" s="246"/>
      <c r="K25" s="32"/>
      <c r="L25" s="246"/>
      <c r="M25" s="243"/>
      <c r="N25" s="243"/>
      <c r="O25" s="246"/>
      <c r="P25" s="32"/>
      <c r="Q25" s="246"/>
      <c r="R25" s="247"/>
      <c r="S25" s="32"/>
      <c r="T25" s="248"/>
      <c r="U25" s="245"/>
      <c r="V25" s="54"/>
      <c r="W25" s="1"/>
      <c r="X25" s="1"/>
      <c r="Y25" s="1"/>
    </row>
    <row r="26" spans="2:25" s="41" customFormat="1" ht="20.25" customHeight="1">
      <c r="C26" s="42">
        <f>+IF(E26&lt;&gt;0,MAX($C$1:C24)+1,"")</f>
        <v>12</v>
      </c>
      <c r="D26" s="43">
        <v>100110003</v>
      </c>
      <c r="E26" s="44" t="s">
        <v>69</v>
      </c>
      <c r="F26" s="45" t="s">
        <v>70</v>
      </c>
      <c r="G26" s="46">
        <v>37165</v>
      </c>
      <c r="H26" s="47" t="s">
        <v>21</v>
      </c>
      <c r="I26" s="48" t="s">
        <v>626</v>
      </c>
      <c r="J26" s="46"/>
      <c r="K26" s="49"/>
      <c r="L26" s="50"/>
      <c r="M26" s="50"/>
      <c r="N26" s="50"/>
      <c r="O26" s="51"/>
      <c r="P26" s="49"/>
      <c r="Q26" s="51"/>
      <c r="R26" s="52"/>
      <c r="S26" s="49"/>
      <c r="T26" s="53"/>
      <c r="U26" s="48"/>
      <c r="V26" s="54"/>
    </row>
    <row r="27" spans="2:25" s="41" customFormat="1" ht="20.25" customHeight="1">
      <c r="C27" s="42">
        <f>+IF(E27&lt;&gt;0,MAX($C$1:C26)+1,"")</f>
        <v>13</v>
      </c>
      <c r="D27" s="43">
        <v>100302001</v>
      </c>
      <c r="E27" s="44" t="s">
        <v>107</v>
      </c>
      <c r="F27" s="45" t="s">
        <v>58</v>
      </c>
      <c r="G27" s="46">
        <v>37653</v>
      </c>
      <c r="H27" s="47" t="s">
        <v>627</v>
      </c>
      <c r="I27" s="48" t="s">
        <v>628</v>
      </c>
      <c r="J27" s="46"/>
      <c r="K27" s="49"/>
      <c r="L27" s="50"/>
      <c r="M27" s="50"/>
      <c r="N27" s="50"/>
      <c r="O27" s="51"/>
      <c r="P27" s="49"/>
      <c r="Q27" s="51"/>
      <c r="R27" s="52"/>
      <c r="S27" s="49"/>
      <c r="T27" s="53"/>
      <c r="U27" s="48"/>
      <c r="V27" s="54"/>
    </row>
    <row r="28" spans="2:25" s="41" customFormat="1" ht="20.25" customHeight="1">
      <c r="C28" s="42">
        <f>+IF(E28&lt;&gt;0,MAX($C$1:C27)+1,"")</f>
        <v>14</v>
      </c>
      <c r="D28" s="43">
        <v>101108001</v>
      </c>
      <c r="E28" s="44" t="s">
        <v>91</v>
      </c>
      <c r="F28" s="45" t="s">
        <v>92</v>
      </c>
      <c r="G28" s="46">
        <v>40756</v>
      </c>
      <c r="H28" s="47" t="s">
        <v>627</v>
      </c>
      <c r="I28" s="48" t="s">
        <v>628</v>
      </c>
      <c r="J28" s="46"/>
      <c r="K28" s="49"/>
      <c r="L28" s="50"/>
      <c r="M28" s="50"/>
      <c r="N28" s="50"/>
      <c r="O28" s="51"/>
      <c r="P28" s="49"/>
      <c r="Q28" s="51"/>
      <c r="R28" s="52"/>
      <c r="S28" s="49"/>
      <c r="T28" s="53"/>
      <c r="U28" s="48"/>
      <c r="V28" s="54"/>
    </row>
    <row r="29" spans="2:25" s="41" customFormat="1" ht="20.25" customHeight="1">
      <c r="C29" s="42">
        <f>+IF(E29&lt;&gt;0,MAX($C$1:C28)+1,"")</f>
        <v>15</v>
      </c>
      <c r="D29" s="43">
        <v>101410002</v>
      </c>
      <c r="E29" s="44" t="s">
        <v>22</v>
      </c>
      <c r="F29" s="45" t="s">
        <v>23</v>
      </c>
      <c r="G29" s="46">
        <v>41916</v>
      </c>
      <c r="H29" s="47" t="s">
        <v>571</v>
      </c>
      <c r="I29" s="48" t="s">
        <v>629</v>
      </c>
      <c r="J29" s="46"/>
      <c r="K29" s="49"/>
      <c r="L29" s="50"/>
      <c r="M29" s="50"/>
      <c r="N29" s="50"/>
      <c r="O29" s="51"/>
      <c r="P29" s="49"/>
      <c r="Q29" s="51"/>
      <c r="R29" s="52"/>
      <c r="S29" s="49"/>
      <c r="T29" s="53"/>
      <c r="U29" s="48"/>
      <c r="V29" s="54"/>
    </row>
    <row r="30" spans="2:25" s="41" customFormat="1" ht="20.25" customHeight="1">
      <c r="C30" s="42">
        <f>+IF(E30&lt;&gt;0,MAX($C$1:C29)+1,"")</f>
        <v>16</v>
      </c>
      <c r="D30" s="43">
        <v>201512011</v>
      </c>
      <c r="E30" s="44" t="s">
        <v>420</v>
      </c>
      <c r="F30" s="45" t="s">
        <v>588</v>
      </c>
      <c r="G30" s="46">
        <v>42354</v>
      </c>
      <c r="H30" s="47" t="s">
        <v>571</v>
      </c>
      <c r="I30" s="48" t="s">
        <v>629</v>
      </c>
      <c r="J30" s="46"/>
      <c r="K30" s="49"/>
      <c r="L30" s="50"/>
      <c r="M30" s="50"/>
      <c r="N30" s="50"/>
      <c r="O30" s="51"/>
      <c r="P30" s="49"/>
      <c r="Q30" s="51"/>
      <c r="R30" s="52"/>
      <c r="S30" s="49"/>
      <c r="T30" s="53"/>
      <c r="U30" s="48"/>
      <c r="V30" s="54"/>
    </row>
    <row r="31" spans="2:25" s="41" customFormat="1" ht="20.25" customHeight="1">
      <c r="C31" s="42">
        <f>+IF(E31&lt;&gt;0,MAX($C$1:C30)+1,"")</f>
        <v>17</v>
      </c>
      <c r="D31" s="43">
        <v>101212008</v>
      </c>
      <c r="E31" s="44" t="s">
        <v>73</v>
      </c>
      <c r="F31" s="45" t="s">
        <v>74</v>
      </c>
      <c r="G31" s="46">
        <v>41267</v>
      </c>
      <c r="H31" s="47" t="s">
        <v>571</v>
      </c>
      <c r="I31" s="48" t="s">
        <v>629</v>
      </c>
      <c r="J31" s="46"/>
      <c r="K31" s="49"/>
      <c r="L31" s="50"/>
      <c r="M31" s="50"/>
      <c r="N31" s="50"/>
      <c r="O31" s="51"/>
      <c r="P31" s="49"/>
      <c r="Q31" s="51"/>
      <c r="R31" s="52"/>
      <c r="S31" s="49"/>
      <c r="T31" s="53"/>
      <c r="U31" s="48"/>
      <c r="V31" s="54"/>
    </row>
    <row r="32" spans="2:25" s="41" customFormat="1" ht="20.25" customHeight="1">
      <c r="C32" s="42">
        <f>+IF(E32&lt;&gt;0,MAX($C$1:C31)+1,"")</f>
        <v>18</v>
      </c>
      <c r="D32" s="43">
        <v>311809226</v>
      </c>
      <c r="E32" s="44" t="s">
        <v>71</v>
      </c>
      <c r="F32" s="45" t="s">
        <v>72</v>
      </c>
      <c r="G32" s="46">
        <v>43364</v>
      </c>
      <c r="H32" s="47" t="s">
        <v>571</v>
      </c>
      <c r="I32" s="48" t="s">
        <v>629</v>
      </c>
      <c r="J32" s="46"/>
      <c r="K32" s="49"/>
      <c r="L32" s="50"/>
      <c r="M32" s="50"/>
      <c r="N32" s="50"/>
      <c r="O32" s="51"/>
      <c r="P32" s="49"/>
      <c r="Q32" s="51"/>
      <c r="R32" s="52"/>
      <c r="S32" s="49"/>
      <c r="T32" s="53"/>
      <c r="U32" s="48"/>
      <c r="V32" s="54"/>
    </row>
    <row r="33" spans="3:22" s="41" customFormat="1" ht="20.25" customHeight="1">
      <c r="C33" s="42">
        <f>+IF(E33&lt;&gt;0,MAX($C$1:C32)+1,"")</f>
        <v>19</v>
      </c>
      <c r="D33" s="43">
        <v>672205003</v>
      </c>
      <c r="E33" s="44" t="s">
        <v>75</v>
      </c>
      <c r="F33" s="45" t="s">
        <v>56</v>
      </c>
      <c r="G33" s="46">
        <v>44705</v>
      </c>
      <c r="H33" s="47" t="s">
        <v>24</v>
      </c>
      <c r="I33" s="48" t="s">
        <v>630</v>
      </c>
      <c r="J33" s="46"/>
      <c r="K33" s="49"/>
      <c r="L33" s="50"/>
      <c r="M33" s="50"/>
      <c r="N33" s="50"/>
      <c r="O33" s="51"/>
      <c r="P33" s="49"/>
      <c r="Q33" s="51"/>
      <c r="R33" s="52"/>
      <c r="S33" s="49"/>
      <c r="T33" s="53"/>
      <c r="U33" s="48"/>
      <c r="V33" s="54"/>
    </row>
    <row r="34" spans="3:22" s="41" customFormat="1" ht="20.25" customHeight="1">
      <c r="C34" s="42">
        <f>+IF(E34&lt;&gt;0,MAX($C$1:C33)+1,"")</f>
        <v>20</v>
      </c>
      <c r="D34" s="43">
        <v>102303040</v>
      </c>
      <c r="E34" s="44" t="s">
        <v>78</v>
      </c>
      <c r="F34" s="45" t="s">
        <v>79</v>
      </c>
      <c r="G34" s="46">
        <v>45001</v>
      </c>
      <c r="H34" s="47" t="s">
        <v>24</v>
      </c>
      <c r="I34" s="48" t="s">
        <v>631</v>
      </c>
      <c r="J34" s="46"/>
      <c r="K34" s="49"/>
      <c r="L34" s="50"/>
      <c r="M34" s="50"/>
      <c r="N34" s="50"/>
      <c r="O34" s="51"/>
      <c r="P34" s="49"/>
      <c r="Q34" s="51"/>
      <c r="R34" s="52"/>
      <c r="S34" s="49"/>
      <c r="T34" s="53"/>
      <c r="U34" s="48"/>
      <c r="V34" s="54"/>
    </row>
    <row r="35" spans="3:22" s="41" customFormat="1" ht="20.25" customHeight="1">
      <c r="C35" s="42">
        <f>+IF(E35&lt;&gt;0,MAX($C$1:C34)+1,"")</f>
        <v>21</v>
      </c>
      <c r="D35" s="43">
        <v>301707082</v>
      </c>
      <c r="E35" s="44" t="s">
        <v>84</v>
      </c>
      <c r="F35" s="45" t="s">
        <v>85</v>
      </c>
      <c r="G35" s="46">
        <v>42926</v>
      </c>
      <c r="H35" s="47" t="s">
        <v>24</v>
      </c>
      <c r="I35" s="48" t="s">
        <v>632</v>
      </c>
      <c r="J35" s="46"/>
      <c r="K35" s="49"/>
      <c r="L35" s="50"/>
      <c r="M35" s="50"/>
      <c r="N35" s="50"/>
      <c r="O35" s="51"/>
      <c r="P35" s="49"/>
      <c r="Q35" s="51"/>
      <c r="R35" s="52"/>
      <c r="S35" s="49"/>
      <c r="T35" s="53"/>
      <c r="U35" s="48"/>
      <c r="V35" s="54"/>
    </row>
    <row r="36" spans="3:22" s="41" customFormat="1" ht="20.25" customHeight="1">
      <c r="C36" s="42">
        <f>+IF(E36&lt;&gt;0,MAX($C$1:C35)+1,"")</f>
        <v>22</v>
      </c>
      <c r="D36" s="43">
        <v>102105004</v>
      </c>
      <c r="E36" s="44" t="s">
        <v>86</v>
      </c>
      <c r="F36" s="45" t="s">
        <v>87</v>
      </c>
      <c r="G36" s="46">
        <v>44319</v>
      </c>
      <c r="H36" s="47" t="s">
        <v>24</v>
      </c>
      <c r="I36" s="48" t="s">
        <v>633</v>
      </c>
      <c r="J36" s="46"/>
      <c r="K36" s="49"/>
      <c r="L36" s="50"/>
      <c r="M36" s="50"/>
      <c r="N36" s="50"/>
      <c r="O36" s="51"/>
      <c r="P36" s="49"/>
      <c r="Q36" s="51"/>
      <c r="R36" s="52"/>
      <c r="S36" s="49"/>
      <c r="T36" s="53"/>
      <c r="U36" s="48"/>
      <c r="V36" s="54"/>
    </row>
    <row r="37" spans="3:22" s="41" customFormat="1" ht="20.25" customHeight="1">
      <c r="C37" s="42">
        <f>+IF(E37&lt;&gt;0,MAX($C$1:C36)+1,"")</f>
        <v>23</v>
      </c>
      <c r="D37" s="43">
        <v>100812001</v>
      </c>
      <c r="E37" s="44" t="s">
        <v>80</v>
      </c>
      <c r="F37" s="45" t="s">
        <v>81</v>
      </c>
      <c r="G37" s="46">
        <v>39783</v>
      </c>
      <c r="H37" s="47" t="s">
        <v>24</v>
      </c>
      <c r="I37" s="48" t="s">
        <v>634</v>
      </c>
      <c r="J37" s="46"/>
      <c r="K37" s="49"/>
      <c r="L37" s="50"/>
      <c r="M37" s="50"/>
      <c r="N37" s="50"/>
      <c r="O37" s="51"/>
      <c r="P37" s="49"/>
      <c r="Q37" s="51"/>
      <c r="R37" s="52"/>
      <c r="S37" s="49"/>
      <c r="T37" s="53"/>
      <c r="U37" s="48"/>
      <c r="V37" s="54"/>
    </row>
    <row r="38" spans="3:22" s="41" customFormat="1" ht="20.25" customHeight="1">
      <c r="C38" s="42">
        <f>+IF(E38&lt;&gt;0,MAX($C$1:C37)+1,"")</f>
        <v>24</v>
      </c>
      <c r="D38" s="43">
        <v>100803001</v>
      </c>
      <c r="E38" s="44" t="s">
        <v>90</v>
      </c>
      <c r="F38" s="45" t="s">
        <v>23</v>
      </c>
      <c r="G38" s="46">
        <v>39510</v>
      </c>
      <c r="H38" s="47" t="s">
        <v>24</v>
      </c>
      <c r="I38" s="48" t="s">
        <v>634</v>
      </c>
      <c r="J38" s="46"/>
      <c r="K38" s="49"/>
      <c r="L38" s="50"/>
      <c r="M38" s="50"/>
      <c r="N38" s="50"/>
      <c r="O38" s="51"/>
      <c r="P38" s="49"/>
      <c r="Q38" s="51"/>
      <c r="R38" s="52"/>
      <c r="S38" s="49"/>
      <c r="T38" s="53"/>
      <c r="U38" s="48"/>
      <c r="V38" s="54"/>
    </row>
    <row r="39" spans="3:22" s="41" customFormat="1" ht="20.25" customHeight="1">
      <c r="C39" s="42">
        <f>+IF(E39&lt;&gt;0,MAX($C$1:C38)+1,"")</f>
        <v>25</v>
      </c>
      <c r="D39" s="43">
        <v>102405004</v>
      </c>
      <c r="E39" s="44" t="s">
        <v>76</v>
      </c>
      <c r="F39" s="45" t="s">
        <v>77</v>
      </c>
      <c r="G39" s="46">
        <v>45414</v>
      </c>
      <c r="H39" s="47" t="s">
        <v>24</v>
      </c>
      <c r="I39" s="48" t="s">
        <v>634</v>
      </c>
      <c r="J39" s="46"/>
      <c r="K39" s="49"/>
      <c r="L39" s="50"/>
      <c r="M39" s="50"/>
      <c r="N39" s="50"/>
      <c r="O39" s="51"/>
      <c r="P39" s="49"/>
      <c r="Q39" s="51"/>
      <c r="R39" s="52"/>
      <c r="S39" s="49"/>
      <c r="T39" s="53"/>
      <c r="U39" s="48"/>
      <c r="V39" s="54"/>
    </row>
    <row r="40" spans="3:22" s="41" customFormat="1" ht="20.25" customHeight="1">
      <c r="C40" s="42">
        <f>+IF(E40&lt;&gt;0,MAX($C$1:C39)+1,"")</f>
        <v>26</v>
      </c>
      <c r="D40" s="43">
        <v>101904007</v>
      </c>
      <c r="E40" s="44" t="s">
        <v>96</v>
      </c>
      <c r="F40" s="45" t="s">
        <v>97</v>
      </c>
      <c r="G40" s="46">
        <v>43556</v>
      </c>
      <c r="H40" s="47" t="s">
        <v>24</v>
      </c>
      <c r="I40" s="48" t="s">
        <v>630</v>
      </c>
      <c r="J40" s="46"/>
      <c r="K40" s="49"/>
      <c r="L40" s="50"/>
      <c r="M40" s="50"/>
      <c r="N40" s="50"/>
      <c r="O40" s="51"/>
      <c r="P40" s="49"/>
      <c r="Q40" s="51"/>
      <c r="R40" s="52"/>
      <c r="S40" s="49"/>
      <c r="T40" s="53"/>
      <c r="U40" s="48"/>
      <c r="V40" s="54"/>
    </row>
    <row r="41" spans="3:22" s="41" customFormat="1" ht="20.25" customHeight="1">
      <c r="C41" s="42">
        <f>+IF(E41&lt;&gt;0,MAX($C$1:C40)+1,"")</f>
        <v>27</v>
      </c>
      <c r="D41" s="43">
        <v>101312004</v>
      </c>
      <c r="E41" s="44" t="s">
        <v>93</v>
      </c>
      <c r="F41" s="45" t="s">
        <v>94</v>
      </c>
      <c r="G41" s="46">
        <v>41617</v>
      </c>
      <c r="H41" s="47" t="s">
        <v>24</v>
      </c>
      <c r="I41" s="48" t="s">
        <v>630</v>
      </c>
      <c r="J41" s="46"/>
      <c r="K41" s="49"/>
      <c r="L41" s="50"/>
      <c r="M41" s="50"/>
      <c r="N41" s="50"/>
      <c r="O41" s="51"/>
      <c r="P41" s="49"/>
      <c r="Q41" s="51"/>
      <c r="R41" s="52"/>
      <c r="S41" s="49"/>
      <c r="T41" s="53"/>
      <c r="U41" s="48"/>
      <c r="V41" s="54"/>
    </row>
    <row r="42" spans="3:22" s="41" customFormat="1" ht="20.25" customHeight="1">
      <c r="C42" s="42">
        <f>+IF(E42&lt;&gt;0,MAX($C$1:C41)+1,"")</f>
        <v>28</v>
      </c>
      <c r="D42" s="43">
        <v>102203095</v>
      </c>
      <c r="E42" s="44" t="s">
        <v>55</v>
      </c>
      <c r="F42" s="45" t="s">
        <v>95</v>
      </c>
      <c r="G42" s="46">
        <v>44621</v>
      </c>
      <c r="H42" s="47" t="s">
        <v>24</v>
      </c>
      <c r="I42" s="48" t="s">
        <v>634</v>
      </c>
      <c r="J42" s="46"/>
      <c r="K42" s="49"/>
      <c r="L42" s="50"/>
      <c r="M42" s="50"/>
      <c r="N42" s="50"/>
      <c r="O42" s="51"/>
      <c r="P42" s="49"/>
      <c r="Q42" s="51"/>
      <c r="R42" s="52"/>
      <c r="S42" s="49"/>
      <c r="T42" s="53"/>
      <c r="U42" s="48"/>
      <c r="V42" s="54"/>
    </row>
    <row r="43" spans="3:22" s="41" customFormat="1" ht="20.25" customHeight="1">
      <c r="C43" s="42">
        <f>+IF(E43&lt;&gt;0,MAX($C$1:C42)+1,"")</f>
        <v>29</v>
      </c>
      <c r="D43" s="43">
        <v>101404006</v>
      </c>
      <c r="E43" s="44" t="s">
        <v>98</v>
      </c>
      <c r="F43" s="45" t="s">
        <v>99</v>
      </c>
      <c r="G43" s="46">
        <v>41743</v>
      </c>
      <c r="H43" s="47" t="s">
        <v>24</v>
      </c>
      <c r="I43" s="48" t="s">
        <v>632</v>
      </c>
      <c r="J43" s="46"/>
      <c r="K43" s="49"/>
      <c r="L43" s="50"/>
      <c r="M43" s="50"/>
      <c r="N43" s="50"/>
      <c r="O43" s="51"/>
      <c r="P43" s="49"/>
      <c r="Q43" s="51"/>
      <c r="R43" s="52"/>
      <c r="S43" s="49"/>
      <c r="T43" s="53"/>
      <c r="U43" s="48"/>
      <c r="V43" s="54"/>
    </row>
    <row r="44" spans="3:22" s="41" customFormat="1" ht="20.25" customHeight="1">
      <c r="C44" s="42">
        <f>+IF(E44&lt;&gt;0,MAX($C$1:C43)+1,"")</f>
        <v>30</v>
      </c>
      <c r="D44" s="43">
        <v>102404067</v>
      </c>
      <c r="E44" s="44" t="s">
        <v>50</v>
      </c>
      <c r="F44" s="45" t="s">
        <v>100</v>
      </c>
      <c r="G44" s="46">
        <v>45404</v>
      </c>
      <c r="H44" s="47" t="s">
        <v>24</v>
      </c>
      <c r="I44" s="48" t="s">
        <v>631</v>
      </c>
      <c r="J44" s="46"/>
      <c r="K44" s="49"/>
      <c r="L44" s="50"/>
      <c r="M44" s="50"/>
      <c r="N44" s="50"/>
      <c r="O44" s="51"/>
      <c r="P44" s="49"/>
      <c r="Q44" s="51"/>
      <c r="R44" s="52"/>
      <c r="S44" s="49"/>
      <c r="T44" s="53"/>
      <c r="U44" s="48"/>
      <c r="V44" s="54"/>
    </row>
    <row r="45" spans="3:22" s="41" customFormat="1" ht="20.25" customHeight="1">
      <c r="C45" s="42">
        <f>+IF(E45&lt;&gt;0,MAX($C$1:C44)+1,"")</f>
        <v>31</v>
      </c>
      <c r="D45" s="43">
        <v>312409001</v>
      </c>
      <c r="E45" s="44" t="s">
        <v>589</v>
      </c>
      <c r="F45" s="45" t="s">
        <v>590</v>
      </c>
      <c r="G45" s="46">
        <v>45539</v>
      </c>
      <c r="H45" s="47" t="s">
        <v>24</v>
      </c>
      <c r="I45" s="48" t="s">
        <v>631</v>
      </c>
      <c r="J45" s="46"/>
      <c r="K45" s="49"/>
      <c r="L45" s="50"/>
      <c r="M45" s="50"/>
      <c r="N45" s="50"/>
      <c r="O45" s="51"/>
      <c r="P45" s="49"/>
      <c r="Q45" s="51"/>
      <c r="R45" s="52"/>
      <c r="S45" s="49"/>
      <c r="T45" s="53"/>
      <c r="U45" s="48"/>
      <c r="V45" s="54"/>
    </row>
    <row r="46" spans="3:22" s="41" customFormat="1" ht="20.25" customHeight="1">
      <c r="C46" s="42">
        <f>+IF(E46&lt;&gt;0,MAX($C$1:C45)+1,"")</f>
        <v>32</v>
      </c>
      <c r="D46" s="43">
        <v>101207019</v>
      </c>
      <c r="E46" s="44" t="s">
        <v>101</v>
      </c>
      <c r="F46" s="45" t="s">
        <v>102</v>
      </c>
      <c r="G46" s="46">
        <v>41113</v>
      </c>
      <c r="H46" s="47" t="s">
        <v>24</v>
      </c>
      <c r="I46" s="48" t="s">
        <v>631</v>
      </c>
      <c r="J46" s="46"/>
      <c r="K46" s="49"/>
      <c r="L46" s="50"/>
      <c r="M46" s="50"/>
      <c r="N46" s="50"/>
      <c r="O46" s="51"/>
      <c r="P46" s="49"/>
      <c r="Q46" s="51"/>
      <c r="R46" s="52"/>
      <c r="S46" s="49"/>
      <c r="T46" s="53"/>
      <c r="U46" s="48"/>
      <c r="V46" s="54"/>
    </row>
    <row r="47" spans="3:22" s="41" customFormat="1" ht="20.25" customHeight="1">
      <c r="C47" s="42">
        <f>+IF(E47&lt;&gt;0,MAX($C$1:C46)+1,"")</f>
        <v>33</v>
      </c>
      <c r="D47" s="43">
        <v>301507026</v>
      </c>
      <c r="E47" s="44" t="s">
        <v>88</v>
      </c>
      <c r="F47" s="45" t="s">
        <v>89</v>
      </c>
      <c r="G47" s="46">
        <v>42201</v>
      </c>
      <c r="H47" s="47" t="s">
        <v>24</v>
      </c>
      <c r="I47" s="48" t="s">
        <v>630</v>
      </c>
      <c r="J47" s="46"/>
      <c r="K47" s="49"/>
      <c r="L47" s="50"/>
      <c r="M47" s="50"/>
      <c r="N47" s="50"/>
      <c r="O47" s="51"/>
      <c r="P47" s="49"/>
      <c r="Q47" s="51"/>
      <c r="R47" s="52"/>
      <c r="S47" s="49"/>
      <c r="T47" s="53"/>
      <c r="U47" s="48"/>
      <c r="V47" s="54"/>
    </row>
    <row r="48" spans="3:22" s="41" customFormat="1" ht="20.25" customHeight="1">
      <c r="C48" s="42">
        <f>+IF(E48&lt;&gt;0,MAX($C$1:C47)+1,"")</f>
        <v>34</v>
      </c>
      <c r="D48" s="43">
        <v>102507009</v>
      </c>
      <c r="E48" s="44" t="s">
        <v>591</v>
      </c>
      <c r="F48" s="45" t="s">
        <v>592</v>
      </c>
      <c r="G48" s="46">
        <v>45840</v>
      </c>
      <c r="H48" s="47" t="s">
        <v>24</v>
      </c>
      <c r="I48" s="48" t="s">
        <v>634</v>
      </c>
      <c r="J48" s="46"/>
      <c r="K48" s="49"/>
      <c r="L48" s="50"/>
      <c r="M48" s="50"/>
      <c r="N48" s="50"/>
      <c r="O48" s="51"/>
      <c r="P48" s="49"/>
      <c r="Q48" s="51"/>
      <c r="R48" s="52"/>
      <c r="S48" s="49"/>
      <c r="T48" s="53"/>
      <c r="U48" s="48"/>
      <c r="V48" s="54"/>
    </row>
    <row r="49" spans="3:22" s="41" customFormat="1" ht="20.25" customHeight="1">
      <c r="C49" s="42">
        <f>+IF(E49&lt;&gt;0,MAX($C$1:C48)+1,"")</f>
        <v>35</v>
      </c>
      <c r="D49" s="43">
        <v>301303031</v>
      </c>
      <c r="E49" s="44" t="s">
        <v>91</v>
      </c>
      <c r="F49" s="45" t="s">
        <v>87</v>
      </c>
      <c r="G49" s="46">
        <v>41358</v>
      </c>
      <c r="H49" s="47" t="s">
        <v>24</v>
      </c>
      <c r="I49" s="48" t="s">
        <v>632</v>
      </c>
      <c r="J49" s="46"/>
      <c r="K49" s="49"/>
      <c r="L49" s="50"/>
      <c r="M49" s="50"/>
      <c r="N49" s="50"/>
      <c r="O49" s="51"/>
      <c r="P49" s="49"/>
      <c r="Q49" s="51"/>
      <c r="R49" s="52"/>
      <c r="S49" s="49"/>
      <c r="T49" s="53"/>
      <c r="U49" s="48"/>
      <c r="V49" s="54"/>
    </row>
    <row r="50" spans="3:22" s="41" customFormat="1" ht="20.25" customHeight="1">
      <c r="C50" s="42">
        <f>+IF(E50&lt;&gt;0,MAX($C$1:C49)+1,"")</f>
        <v>36</v>
      </c>
      <c r="D50" s="43">
        <v>110703047</v>
      </c>
      <c r="E50" s="44" t="s">
        <v>105</v>
      </c>
      <c r="F50" s="45" t="s">
        <v>106</v>
      </c>
      <c r="G50" s="46">
        <v>39149</v>
      </c>
      <c r="H50" s="47" t="s">
        <v>24</v>
      </c>
      <c r="I50" s="48" t="s">
        <v>634</v>
      </c>
      <c r="J50" s="46"/>
      <c r="K50" s="49"/>
      <c r="L50" s="50"/>
      <c r="M50" s="50"/>
      <c r="N50" s="50"/>
      <c r="O50" s="51"/>
      <c r="P50" s="49"/>
      <c r="Q50" s="51"/>
      <c r="R50" s="52"/>
      <c r="S50" s="49"/>
      <c r="T50" s="53"/>
      <c r="U50" s="48"/>
      <c r="V50" s="54"/>
    </row>
    <row r="51" spans="3:22" s="41" customFormat="1" ht="20.25" customHeight="1">
      <c r="C51" s="42">
        <f>+IF(E51&lt;&gt;0,MAX($C$1:C50)+1,"")</f>
        <v>37</v>
      </c>
      <c r="D51" s="43">
        <v>622212001</v>
      </c>
      <c r="E51" s="44" t="s">
        <v>82</v>
      </c>
      <c r="F51" s="45" t="s">
        <v>83</v>
      </c>
      <c r="G51" s="46">
        <v>44896</v>
      </c>
      <c r="H51" s="47" t="s">
        <v>24</v>
      </c>
      <c r="I51" s="48" t="s">
        <v>634</v>
      </c>
      <c r="J51" s="46"/>
      <c r="K51" s="49"/>
      <c r="L51" s="50"/>
      <c r="M51" s="50"/>
      <c r="N51" s="50"/>
      <c r="O51" s="51"/>
      <c r="P51" s="49"/>
      <c r="Q51" s="51"/>
      <c r="R51" s="52"/>
      <c r="S51" s="49"/>
      <c r="T51" s="53"/>
      <c r="U51" s="48"/>
      <c r="V51" s="54"/>
    </row>
    <row r="52" spans="3:22" s="41" customFormat="1" ht="20.25" customHeight="1">
      <c r="C52" s="42">
        <f>+IF(E52&lt;&gt;0,MAX($C$1:C51)+1,"")</f>
        <v>38</v>
      </c>
      <c r="D52" s="43">
        <v>102104041</v>
      </c>
      <c r="E52" s="44" t="s">
        <v>69</v>
      </c>
      <c r="F52" s="45" t="s">
        <v>108</v>
      </c>
      <c r="G52" s="46">
        <v>44291</v>
      </c>
      <c r="H52" s="47" t="s">
        <v>24</v>
      </c>
      <c r="I52" s="48" t="s">
        <v>630</v>
      </c>
      <c r="J52" s="46"/>
      <c r="K52" s="49"/>
      <c r="L52" s="50"/>
      <c r="M52" s="50"/>
      <c r="N52" s="50"/>
      <c r="O52" s="51"/>
      <c r="P52" s="49"/>
      <c r="Q52" s="51"/>
      <c r="R52" s="52"/>
      <c r="S52" s="49"/>
      <c r="T52" s="53"/>
      <c r="U52" s="48"/>
      <c r="V52" s="54"/>
    </row>
    <row r="53" spans="3:22" s="41" customFormat="1" ht="20.25" customHeight="1">
      <c r="C53" s="42">
        <f>+IF(E53&lt;&gt;0,MAX($C$1:C52)+1,"")</f>
        <v>39</v>
      </c>
      <c r="D53" s="43">
        <v>311505293</v>
      </c>
      <c r="E53" s="44" t="s">
        <v>111</v>
      </c>
      <c r="F53" s="45" t="s">
        <v>40</v>
      </c>
      <c r="G53" s="46">
        <v>42142</v>
      </c>
      <c r="H53" s="47" t="s">
        <v>24</v>
      </c>
      <c r="I53" s="48" t="s">
        <v>634</v>
      </c>
      <c r="J53" s="46"/>
      <c r="K53" s="49"/>
      <c r="L53" s="50"/>
      <c r="M53" s="50"/>
      <c r="N53" s="50"/>
      <c r="O53" s="51"/>
      <c r="P53" s="49"/>
      <c r="Q53" s="51"/>
      <c r="R53" s="52"/>
      <c r="S53" s="49"/>
      <c r="T53" s="53"/>
      <c r="U53" s="48"/>
      <c r="V53" s="54"/>
    </row>
    <row r="54" spans="3:22" s="41" customFormat="1" ht="20.25" customHeight="1">
      <c r="C54" s="42">
        <f>+IF(E54&lt;&gt;0,MAX($C$1:C53)+1,"")</f>
        <v>40</v>
      </c>
      <c r="D54" s="43">
        <v>101507015</v>
      </c>
      <c r="E54" s="44" t="s">
        <v>109</v>
      </c>
      <c r="F54" s="45" t="s">
        <v>110</v>
      </c>
      <c r="G54" s="46">
        <v>42205</v>
      </c>
      <c r="H54" s="47" t="s">
        <v>24</v>
      </c>
      <c r="I54" s="48" t="s">
        <v>631</v>
      </c>
      <c r="J54" s="46"/>
      <c r="K54" s="49"/>
      <c r="L54" s="50"/>
      <c r="M54" s="50"/>
      <c r="N54" s="50"/>
      <c r="O54" s="51"/>
      <c r="P54" s="49"/>
      <c r="Q54" s="51"/>
      <c r="R54" s="52"/>
      <c r="S54" s="49"/>
      <c r="T54" s="53"/>
      <c r="U54" s="48"/>
      <c r="V54" s="54"/>
    </row>
    <row r="55" spans="3:22" s="41" customFormat="1" ht="20.25" customHeight="1">
      <c r="C55" s="42">
        <f>+IF(E55&lt;&gt;0,MAX($C$1:C54)+1,"")</f>
        <v>41</v>
      </c>
      <c r="D55" s="43">
        <v>311706451</v>
      </c>
      <c r="E55" s="44" t="s">
        <v>112</v>
      </c>
      <c r="F55" s="45" t="s">
        <v>110</v>
      </c>
      <c r="G55" s="46">
        <v>42898</v>
      </c>
      <c r="H55" s="47" t="s">
        <v>24</v>
      </c>
      <c r="I55" s="48" t="s">
        <v>634</v>
      </c>
      <c r="J55" s="46"/>
      <c r="K55" s="49"/>
      <c r="L55" s="50"/>
      <c r="M55" s="50"/>
      <c r="N55" s="50"/>
      <c r="O55" s="51"/>
      <c r="P55" s="49"/>
      <c r="Q55" s="51"/>
      <c r="R55" s="52"/>
      <c r="S55" s="49"/>
      <c r="T55" s="53"/>
      <c r="U55" s="48"/>
      <c r="V55" s="54"/>
    </row>
    <row r="56" spans="3:22" s="41" customFormat="1" ht="20.25" customHeight="1">
      <c r="C56" s="42">
        <f>+IF(E56&lt;&gt;0,MAX($C$1:C55)+1,"")</f>
        <v>42</v>
      </c>
      <c r="D56" s="43">
        <v>102104040</v>
      </c>
      <c r="E56" s="44" t="s">
        <v>69</v>
      </c>
      <c r="F56" s="45" t="s">
        <v>95</v>
      </c>
      <c r="G56" s="46">
        <v>44291</v>
      </c>
      <c r="H56" s="47" t="s">
        <v>24</v>
      </c>
      <c r="I56" s="48" t="s">
        <v>630</v>
      </c>
      <c r="J56" s="46"/>
      <c r="K56" s="49"/>
      <c r="L56" s="50"/>
      <c r="M56" s="50"/>
      <c r="N56" s="50"/>
      <c r="O56" s="51"/>
      <c r="P56" s="49"/>
      <c r="Q56" s="51"/>
      <c r="R56" s="52"/>
      <c r="S56" s="49"/>
      <c r="T56" s="53"/>
      <c r="U56" s="48"/>
      <c r="V56" s="54"/>
    </row>
    <row r="57" spans="3:22" s="41" customFormat="1" ht="20.25" customHeight="1">
      <c r="C57" s="42">
        <f>+IF(E57&lt;&gt;0,MAX($C$1:C56)+1,"")</f>
        <v>43</v>
      </c>
      <c r="D57" s="43">
        <v>102508007</v>
      </c>
      <c r="E57" s="44" t="s">
        <v>593</v>
      </c>
      <c r="F57" s="45" t="s">
        <v>151</v>
      </c>
      <c r="G57" s="46">
        <v>45873</v>
      </c>
      <c r="H57" s="47" t="s">
        <v>24</v>
      </c>
      <c r="I57" s="48" t="s">
        <v>631</v>
      </c>
      <c r="J57" s="46"/>
      <c r="K57" s="49"/>
      <c r="L57" s="50"/>
      <c r="M57" s="50"/>
      <c r="N57" s="50"/>
      <c r="O57" s="51"/>
      <c r="P57" s="49"/>
      <c r="Q57" s="51"/>
      <c r="R57" s="52"/>
      <c r="S57" s="49"/>
      <c r="T57" s="53"/>
      <c r="U57" s="48"/>
      <c r="V57" s="54"/>
    </row>
    <row r="58" spans="3:22" s="41" customFormat="1" ht="20.25" customHeight="1">
      <c r="C58" s="42">
        <f>+IF(E58&lt;&gt;0,MAX($C$1:C57)+1,"")</f>
        <v>44</v>
      </c>
      <c r="D58" s="43">
        <v>100711001</v>
      </c>
      <c r="E58" s="44" t="s">
        <v>84</v>
      </c>
      <c r="F58" s="45" t="s">
        <v>113</v>
      </c>
      <c r="G58" s="46">
        <v>39387</v>
      </c>
      <c r="H58" s="47" t="s">
        <v>24</v>
      </c>
      <c r="I58" s="48" t="s">
        <v>635</v>
      </c>
      <c r="J58" s="46"/>
      <c r="K58" s="49"/>
      <c r="L58" s="50"/>
      <c r="M58" s="50"/>
      <c r="N58" s="50"/>
      <c r="O58" s="51"/>
      <c r="P58" s="49"/>
      <c r="Q58" s="51"/>
      <c r="R58" s="52"/>
      <c r="S58" s="49"/>
      <c r="T58" s="53"/>
      <c r="U58" s="48"/>
      <c r="V58" s="54"/>
    </row>
    <row r="59" spans="3:22" s="41" customFormat="1" ht="20.25" customHeight="1">
      <c r="C59" s="42">
        <f>+IF(E59&lt;&gt;0,MAX($C$1:C58)+1,"")</f>
        <v>45</v>
      </c>
      <c r="D59" s="43">
        <v>101006004</v>
      </c>
      <c r="E59" s="44" t="s">
        <v>114</v>
      </c>
      <c r="F59" s="45" t="s">
        <v>77</v>
      </c>
      <c r="G59" s="46">
        <v>40344</v>
      </c>
      <c r="H59" s="47" t="s">
        <v>24</v>
      </c>
      <c r="I59" s="48" t="s">
        <v>634</v>
      </c>
      <c r="J59" s="46"/>
      <c r="K59" s="49"/>
      <c r="L59" s="50"/>
      <c r="M59" s="50"/>
      <c r="N59" s="50"/>
      <c r="O59" s="51"/>
      <c r="P59" s="49"/>
      <c r="Q59" s="51"/>
      <c r="R59" s="52"/>
      <c r="S59" s="49"/>
      <c r="T59" s="53"/>
      <c r="U59" s="48"/>
      <c r="V59" s="54"/>
    </row>
    <row r="60" spans="3:22" s="41" customFormat="1" ht="20.25" customHeight="1">
      <c r="C60" s="42">
        <f>+IF(E60&lt;&gt;0,MAX($C$1:C59)+1,"")</f>
        <v>46</v>
      </c>
      <c r="D60" s="43">
        <v>101304007</v>
      </c>
      <c r="E60" s="44" t="s">
        <v>91</v>
      </c>
      <c r="F60" s="45" t="s">
        <v>115</v>
      </c>
      <c r="G60" s="46">
        <v>41370</v>
      </c>
      <c r="H60" s="47" t="s">
        <v>24</v>
      </c>
      <c r="I60" s="48" t="s">
        <v>636</v>
      </c>
      <c r="J60" s="46"/>
      <c r="K60" s="49"/>
      <c r="L60" s="50"/>
      <c r="M60" s="50"/>
      <c r="N60" s="50"/>
      <c r="O60" s="51"/>
      <c r="P60" s="49"/>
      <c r="Q60" s="51"/>
      <c r="R60" s="52"/>
      <c r="S60" s="49"/>
      <c r="T60" s="53"/>
      <c r="U60" s="48"/>
      <c r="V60" s="54"/>
    </row>
    <row r="61" spans="3:22" s="41" customFormat="1" ht="20.25" customHeight="1">
      <c r="C61" s="42">
        <f>+IF(E61&lt;&gt;0,MAX($C$1:C60)+1,"")</f>
        <v>47</v>
      </c>
      <c r="D61" s="43">
        <v>211310001</v>
      </c>
      <c r="E61" s="44" t="s">
        <v>116</v>
      </c>
      <c r="F61" s="45" t="s">
        <v>117</v>
      </c>
      <c r="G61" s="46">
        <v>41549</v>
      </c>
      <c r="H61" s="47" t="s">
        <v>24</v>
      </c>
      <c r="I61" s="48" t="s">
        <v>637</v>
      </c>
      <c r="J61" s="46"/>
      <c r="K61" s="49"/>
      <c r="L61" s="50"/>
      <c r="M61" s="50"/>
      <c r="N61" s="50"/>
      <c r="O61" s="51"/>
      <c r="P61" s="49"/>
      <c r="Q61" s="51"/>
      <c r="R61" s="52"/>
      <c r="S61" s="49"/>
      <c r="T61" s="53"/>
      <c r="U61" s="48"/>
      <c r="V61" s="54"/>
    </row>
    <row r="62" spans="3:22" s="41" customFormat="1" ht="20.25" customHeight="1">
      <c r="C62" s="42">
        <f>+IF(E62&lt;&gt;0,MAX($C$1:C61)+1,"")</f>
        <v>48</v>
      </c>
      <c r="D62" s="43">
        <v>231405692</v>
      </c>
      <c r="E62" s="44" t="s">
        <v>118</v>
      </c>
      <c r="F62" s="45" t="s">
        <v>119</v>
      </c>
      <c r="G62" s="46">
        <v>41787</v>
      </c>
      <c r="H62" s="47" t="s">
        <v>24</v>
      </c>
      <c r="I62" s="48" t="s">
        <v>637</v>
      </c>
      <c r="J62" s="46"/>
      <c r="K62" s="49"/>
      <c r="L62" s="50"/>
      <c r="M62" s="50"/>
      <c r="N62" s="50"/>
      <c r="O62" s="51"/>
      <c r="P62" s="49"/>
      <c r="Q62" s="51"/>
      <c r="R62" s="52"/>
      <c r="S62" s="49"/>
      <c r="T62" s="53"/>
      <c r="U62" s="48"/>
      <c r="V62" s="54"/>
    </row>
    <row r="63" spans="3:22" s="41" customFormat="1" ht="20.25" customHeight="1">
      <c r="C63" s="42">
        <f>+IF(E63&lt;&gt;0,MAX($C$1:C62)+1,"")</f>
        <v>49</v>
      </c>
      <c r="D63" s="43">
        <v>100503006</v>
      </c>
      <c r="E63" s="44" t="s">
        <v>120</v>
      </c>
      <c r="F63" s="45" t="s">
        <v>121</v>
      </c>
      <c r="G63" s="46">
        <v>38441</v>
      </c>
      <c r="H63" s="47" t="s">
        <v>24</v>
      </c>
      <c r="I63" s="48" t="s">
        <v>637</v>
      </c>
      <c r="J63" s="46"/>
      <c r="K63" s="49"/>
      <c r="L63" s="50"/>
      <c r="M63" s="50"/>
      <c r="N63" s="50"/>
      <c r="O63" s="51"/>
      <c r="P63" s="49"/>
      <c r="Q63" s="51"/>
      <c r="R63" s="52"/>
      <c r="S63" s="49"/>
      <c r="T63" s="53"/>
      <c r="U63" s="48"/>
      <c r="V63" s="54"/>
    </row>
    <row r="64" spans="3:22" s="41" customFormat="1" ht="20.25" customHeight="1">
      <c r="C64" s="42">
        <f>+IF(E64&lt;&gt;0,MAX($C$1:C63)+1,"")</f>
        <v>50</v>
      </c>
      <c r="D64" s="43">
        <v>101305002</v>
      </c>
      <c r="E64" s="44" t="s">
        <v>36</v>
      </c>
      <c r="F64" s="45" t="s">
        <v>20</v>
      </c>
      <c r="G64" s="46">
        <v>41396</v>
      </c>
      <c r="H64" s="47" t="s">
        <v>24</v>
      </c>
      <c r="I64" s="48" t="s">
        <v>636</v>
      </c>
      <c r="J64" s="46"/>
      <c r="K64" s="49"/>
      <c r="L64" s="50"/>
      <c r="M64" s="50"/>
      <c r="N64" s="50"/>
      <c r="O64" s="51"/>
      <c r="P64" s="49"/>
      <c r="Q64" s="51"/>
      <c r="R64" s="52"/>
      <c r="S64" s="49"/>
      <c r="T64" s="53"/>
      <c r="U64" s="48"/>
      <c r="V64" s="54"/>
    </row>
    <row r="65" spans="2:25" s="41" customFormat="1" ht="20.25" customHeight="1">
      <c r="B65" s="1"/>
      <c r="C65" s="242" t="s">
        <v>122</v>
      </c>
      <c r="D65" s="243"/>
      <c r="E65" s="244"/>
      <c r="F65" s="245"/>
      <c r="G65" s="246"/>
      <c r="H65" s="244"/>
      <c r="I65" s="245"/>
      <c r="J65" s="246"/>
      <c r="K65" s="32"/>
      <c r="L65" s="246"/>
      <c r="M65" s="243"/>
      <c r="N65" s="243"/>
      <c r="O65" s="246"/>
      <c r="P65" s="32"/>
      <c r="Q65" s="246"/>
      <c r="R65" s="247"/>
      <c r="S65" s="32"/>
      <c r="T65" s="248"/>
      <c r="U65" s="245"/>
      <c r="V65" s="54"/>
      <c r="W65" s="1"/>
      <c r="X65" s="1"/>
      <c r="Y65" s="1"/>
    </row>
    <row r="66" spans="2:25" s="41" customFormat="1" ht="20.25" customHeight="1">
      <c r="C66" s="42">
        <f>+IF(E66&lt;&gt;0,MAX($C$1:C64)+1,"")</f>
        <v>51</v>
      </c>
      <c r="D66" s="43">
        <v>101509006</v>
      </c>
      <c r="E66" s="44" t="s">
        <v>84</v>
      </c>
      <c r="F66" s="45" t="s">
        <v>57</v>
      </c>
      <c r="G66" s="46">
        <v>42261</v>
      </c>
      <c r="H66" s="47" t="s">
        <v>24</v>
      </c>
      <c r="I66" s="48" t="s">
        <v>638</v>
      </c>
      <c r="J66" s="46"/>
      <c r="K66" s="49"/>
      <c r="L66" s="50"/>
      <c r="M66" s="50"/>
      <c r="N66" s="50"/>
      <c r="O66" s="51"/>
      <c r="P66" s="49"/>
      <c r="Q66" s="51"/>
      <c r="R66" s="52"/>
      <c r="S66" s="49"/>
      <c r="T66" s="53"/>
      <c r="U66" s="48"/>
      <c r="V66" s="54"/>
    </row>
    <row r="67" spans="2:25" s="41" customFormat="1" ht="20.25" customHeight="1">
      <c r="C67" s="42">
        <f>+IF(E67&lt;&gt;0,MAX($C$1:C66)+1,"")</f>
        <v>52</v>
      </c>
      <c r="D67" s="43">
        <v>101909058</v>
      </c>
      <c r="E67" s="44" t="s">
        <v>123</v>
      </c>
      <c r="F67" s="45" t="s">
        <v>124</v>
      </c>
      <c r="G67" s="46">
        <v>43738</v>
      </c>
      <c r="H67" s="47" t="s">
        <v>24</v>
      </c>
      <c r="I67" s="48" t="s">
        <v>638</v>
      </c>
      <c r="J67" s="46"/>
      <c r="K67" s="49"/>
      <c r="L67" s="50"/>
      <c r="M67" s="50"/>
      <c r="N67" s="50"/>
      <c r="O67" s="51"/>
      <c r="P67" s="49"/>
      <c r="Q67" s="51"/>
      <c r="R67" s="52"/>
      <c r="S67" s="49"/>
      <c r="T67" s="53"/>
      <c r="U67" s="48"/>
      <c r="V67" s="54"/>
    </row>
    <row r="68" spans="2:25" s="41" customFormat="1" ht="20.25" customHeight="1">
      <c r="C68" s="42">
        <f>+IF(E68&lt;&gt;0,MAX($C$1:C67)+1,"")</f>
        <v>53</v>
      </c>
      <c r="D68" s="43">
        <v>100609001</v>
      </c>
      <c r="E68" s="44" t="s">
        <v>84</v>
      </c>
      <c r="F68" s="45" t="s">
        <v>74</v>
      </c>
      <c r="G68" s="46">
        <v>38971</v>
      </c>
      <c r="H68" s="47" t="s">
        <v>24</v>
      </c>
      <c r="I68" s="48" t="s">
        <v>639</v>
      </c>
      <c r="J68" s="46"/>
      <c r="K68" s="49"/>
      <c r="L68" s="50"/>
      <c r="M68" s="50"/>
      <c r="N68" s="50"/>
      <c r="O68" s="51"/>
      <c r="P68" s="49"/>
      <c r="Q68" s="51"/>
      <c r="R68" s="52"/>
      <c r="S68" s="49"/>
      <c r="T68" s="53"/>
      <c r="U68" s="48"/>
      <c r="V68" s="54"/>
    </row>
    <row r="69" spans="2:25" s="41" customFormat="1" ht="20.25" customHeight="1">
      <c r="C69" s="42">
        <f>+IF(E69&lt;&gt;0,MAX($C$1:C68)+1,"")</f>
        <v>54</v>
      </c>
      <c r="D69" s="43">
        <v>102305005</v>
      </c>
      <c r="E69" s="44" t="s">
        <v>125</v>
      </c>
      <c r="F69" s="45" t="s">
        <v>33</v>
      </c>
      <c r="G69" s="46">
        <v>45057</v>
      </c>
      <c r="H69" s="47" t="s">
        <v>24</v>
      </c>
      <c r="I69" s="48" t="s">
        <v>638</v>
      </c>
      <c r="J69" s="46"/>
      <c r="K69" s="49"/>
      <c r="L69" s="50"/>
      <c r="M69" s="50"/>
      <c r="N69" s="50"/>
      <c r="O69" s="51"/>
      <c r="P69" s="49"/>
      <c r="Q69" s="51"/>
      <c r="R69" s="52"/>
      <c r="S69" s="49"/>
      <c r="T69" s="53"/>
      <c r="U69" s="48"/>
      <c r="V69" s="54"/>
    </row>
    <row r="70" spans="2:25" s="41" customFormat="1" ht="20.25" customHeight="1">
      <c r="C70" s="42">
        <f>+IF(E70&lt;&gt;0,MAX($C$1:C69)+1,"")</f>
        <v>55</v>
      </c>
      <c r="D70" s="43">
        <v>100508001</v>
      </c>
      <c r="E70" s="44" t="s">
        <v>126</v>
      </c>
      <c r="F70" s="45" t="s">
        <v>127</v>
      </c>
      <c r="G70" s="46">
        <v>38565</v>
      </c>
      <c r="H70" s="47" t="s">
        <v>24</v>
      </c>
      <c r="I70" s="48" t="s">
        <v>639</v>
      </c>
      <c r="J70" s="46"/>
      <c r="K70" s="49"/>
      <c r="L70" s="50"/>
      <c r="M70" s="50"/>
      <c r="N70" s="50"/>
      <c r="O70" s="51"/>
      <c r="P70" s="49"/>
      <c r="Q70" s="51"/>
      <c r="R70" s="52"/>
      <c r="S70" s="49"/>
      <c r="T70" s="53"/>
      <c r="U70" s="48"/>
      <c r="V70" s="54"/>
    </row>
    <row r="71" spans="2:25" s="41" customFormat="1" ht="20.25" customHeight="1">
      <c r="C71" s="42">
        <f>+IF(E71&lt;&gt;0,MAX($C$1:C70)+1,"")</f>
        <v>56</v>
      </c>
      <c r="D71" s="43">
        <v>101203001</v>
      </c>
      <c r="E71" s="44" t="s">
        <v>128</v>
      </c>
      <c r="F71" s="45" t="s">
        <v>23</v>
      </c>
      <c r="G71" s="46">
        <v>40973</v>
      </c>
      <c r="H71" s="47" t="s">
        <v>24</v>
      </c>
      <c r="I71" s="48" t="s">
        <v>638</v>
      </c>
      <c r="J71" s="46"/>
      <c r="K71" s="49"/>
      <c r="L71" s="50"/>
      <c r="M71" s="50"/>
      <c r="N71" s="50"/>
      <c r="O71" s="51"/>
      <c r="P71" s="49"/>
      <c r="Q71" s="51"/>
      <c r="R71" s="52"/>
      <c r="S71" s="49"/>
      <c r="T71" s="53"/>
      <c r="U71" s="48"/>
      <c r="V71" s="54"/>
    </row>
    <row r="72" spans="2:25" s="41" customFormat="1" ht="20.25" customHeight="1">
      <c r="C72" s="42">
        <f>+IF(E72&lt;&gt;0,MAX($C$1:C71)+1,"")</f>
        <v>57</v>
      </c>
      <c r="D72" s="43">
        <v>101710030</v>
      </c>
      <c r="E72" s="44" t="s">
        <v>640</v>
      </c>
      <c r="F72" s="45" t="s">
        <v>220</v>
      </c>
      <c r="G72" s="46">
        <v>43026</v>
      </c>
      <c r="H72" s="47" t="s">
        <v>24</v>
      </c>
      <c r="I72" s="48" t="s">
        <v>638</v>
      </c>
      <c r="J72" s="46"/>
      <c r="K72" s="49"/>
      <c r="L72" s="50"/>
      <c r="M72" s="50"/>
      <c r="N72" s="50"/>
      <c r="O72" s="51"/>
      <c r="P72" s="49"/>
      <c r="Q72" s="51"/>
      <c r="R72" s="52"/>
      <c r="S72" s="49"/>
      <c r="T72" s="53"/>
      <c r="U72" s="48"/>
      <c r="V72" s="54"/>
    </row>
    <row r="73" spans="2:25" s="41" customFormat="1" ht="20.25" customHeight="1">
      <c r="C73" s="42">
        <f>+IF(E73&lt;&gt;0,MAX($C$1:C72)+1,"")</f>
        <v>58</v>
      </c>
      <c r="D73" s="43">
        <v>101909051</v>
      </c>
      <c r="E73" s="44" t="s">
        <v>129</v>
      </c>
      <c r="F73" s="45" t="s">
        <v>130</v>
      </c>
      <c r="G73" s="46">
        <v>43733</v>
      </c>
      <c r="H73" s="47" t="s">
        <v>24</v>
      </c>
      <c r="I73" s="48" t="s">
        <v>638</v>
      </c>
      <c r="J73" s="46"/>
      <c r="K73" s="49"/>
      <c r="L73" s="50"/>
      <c r="M73" s="50"/>
      <c r="N73" s="50"/>
      <c r="O73" s="51"/>
      <c r="P73" s="49"/>
      <c r="Q73" s="51"/>
      <c r="R73" s="52"/>
      <c r="S73" s="49"/>
      <c r="T73" s="53"/>
      <c r="U73" s="48"/>
      <c r="V73" s="54"/>
    </row>
    <row r="74" spans="2:25" s="41" customFormat="1" ht="20.25" customHeight="1">
      <c r="C74" s="42">
        <f>+IF(E74&lt;&gt;0,MAX($C$1:C73)+1,"")</f>
        <v>59</v>
      </c>
      <c r="D74" s="43">
        <v>102110006</v>
      </c>
      <c r="E74" s="44" t="s">
        <v>55</v>
      </c>
      <c r="F74" s="45" t="s">
        <v>56</v>
      </c>
      <c r="G74" s="46">
        <v>44470</v>
      </c>
      <c r="H74" s="47" t="s">
        <v>24</v>
      </c>
      <c r="I74" s="48" t="s">
        <v>638</v>
      </c>
      <c r="J74" s="46"/>
      <c r="K74" s="49"/>
      <c r="L74" s="50"/>
      <c r="M74" s="50"/>
      <c r="N74" s="50"/>
      <c r="O74" s="51"/>
      <c r="P74" s="49"/>
      <c r="Q74" s="51"/>
      <c r="R74" s="52"/>
      <c r="S74" s="49"/>
      <c r="T74" s="53"/>
      <c r="U74" s="48"/>
      <c r="V74" s="54"/>
    </row>
    <row r="75" spans="2:25" s="41" customFormat="1" ht="20.25" customHeight="1">
      <c r="B75" s="1"/>
      <c r="C75" s="242" t="s">
        <v>675</v>
      </c>
      <c r="D75" s="243"/>
      <c r="E75" s="244"/>
      <c r="F75" s="245"/>
      <c r="G75" s="246"/>
      <c r="H75" s="244"/>
      <c r="I75" s="245"/>
      <c r="J75" s="246"/>
      <c r="K75" s="32"/>
      <c r="L75" s="246"/>
      <c r="M75" s="243"/>
      <c r="N75" s="243"/>
      <c r="O75" s="246"/>
      <c r="P75" s="32"/>
      <c r="Q75" s="246"/>
      <c r="R75" s="247"/>
      <c r="S75" s="32"/>
      <c r="T75" s="248"/>
      <c r="U75" s="245"/>
      <c r="V75" s="54"/>
      <c r="W75" s="1"/>
      <c r="X75" s="1"/>
      <c r="Y75" s="1"/>
    </row>
    <row r="76" spans="2:25" s="41" customFormat="1" ht="20.25" customHeight="1">
      <c r="C76" s="42">
        <f>+IF(E76&lt;&gt;0,MAX($C$1:C74)+1,"")</f>
        <v>60</v>
      </c>
      <c r="D76" s="43">
        <v>109307002</v>
      </c>
      <c r="E76" s="44" t="s">
        <v>131</v>
      </c>
      <c r="F76" s="45" t="s">
        <v>132</v>
      </c>
      <c r="G76" s="46">
        <v>34151</v>
      </c>
      <c r="H76" s="47" t="s">
        <v>17</v>
      </c>
      <c r="I76" s="48" t="s">
        <v>641</v>
      </c>
      <c r="J76" s="46"/>
      <c r="K76" s="49"/>
      <c r="L76" s="50"/>
      <c r="M76" s="50"/>
      <c r="N76" s="50"/>
      <c r="O76" s="51"/>
      <c r="P76" s="49"/>
      <c r="Q76" s="51"/>
      <c r="R76" s="52"/>
      <c r="S76" s="49"/>
      <c r="T76" s="53"/>
      <c r="U76" s="48"/>
      <c r="V76" s="54"/>
    </row>
    <row r="77" spans="2:25" s="41" customFormat="1" ht="20.25" customHeight="1">
      <c r="B77" s="1"/>
      <c r="C77" s="242" t="s">
        <v>676</v>
      </c>
      <c r="D77" s="243"/>
      <c r="E77" s="244"/>
      <c r="F77" s="245"/>
      <c r="G77" s="246"/>
      <c r="H77" s="244"/>
      <c r="I77" s="245"/>
      <c r="J77" s="246"/>
      <c r="K77" s="32"/>
      <c r="L77" s="246"/>
      <c r="M77" s="243"/>
      <c r="N77" s="243"/>
      <c r="O77" s="246"/>
      <c r="P77" s="32"/>
      <c r="Q77" s="246"/>
      <c r="R77" s="247"/>
      <c r="S77" s="32"/>
      <c r="T77" s="248"/>
      <c r="U77" s="245"/>
      <c r="V77" s="54"/>
      <c r="W77" s="1"/>
      <c r="X77" s="1"/>
      <c r="Y77" s="1"/>
    </row>
    <row r="78" spans="2:25" s="41" customFormat="1" ht="20.25" customHeight="1">
      <c r="C78" s="42">
        <f>+IF(E78&lt;&gt;0,MAX($C$1:C76)+1,"")</f>
        <v>61</v>
      </c>
      <c r="D78" s="43">
        <v>100508003</v>
      </c>
      <c r="E78" s="44" t="s">
        <v>324</v>
      </c>
      <c r="F78" s="45" t="s">
        <v>325</v>
      </c>
      <c r="G78" s="46">
        <v>38576</v>
      </c>
      <c r="H78" s="47" t="s">
        <v>52</v>
      </c>
      <c r="I78" s="48" t="s">
        <v>642</v>
      </c>
      <c r="J78" s="46"/>
      <c r="K78" s="49"/>
      <c r="L78" s="50"/>
      <c r="M78" s="50"/>
      <c r="N78" s="50"/>
      <c r="O78" s="51"/>
      <c r="P78" s="49"/>
      <c r="Q78" s="51"/>
      <c r="R78" s="52"/>
      <c r="S78" s="49"/>
      <c r="T78" s="53"/>
      <c r="U78" s="48"/>
      <c r="V78" s="54"/>
    </row>
    <row r="79" spans="2:25" s="41" customFormat="1" ht="20.25" customHeight="1">
      <c r="C79" s="42">
        <f>+IF(E79&lt;&gt;0,MAX($C$1:C78)+1,"")</f>
        <v>62</v>
      </c>
      <c r="D79" s="43">
        <v>100806005</v>
      </c>
      <c r="E79" s="44" t="s">
        <v>116</v>
      </c>
      <c r="F79" s="45" t="s">
        <v>326</v>
      </c>
      <c r="G79" s="46">
        <v>39626</v>
      </c>
      <c r="H79" s="47" t="s">
        <v>61</v>
      </c>
      <c r="I79" s="48" t="s">
        <v>643</v>
      </c>
      <c r="J79" s="46"/>
      <c r="K79" s="49"/>
      <c r="L79" s="50"/>
      <c r="M79" s="50"/>
      <c r="N79" s="50"/>
      <c r="O79" s="51"/>
      <c r="P79" s="49"/>
      <c r="Q79" s="51"/>
      <c r="R79" s="52"/>
      <c r="S79" s="49"/>
      <c r="T79" s="53"/>
      <c r="U79" s="48"/>
      <c r="V79" s="54"/>
    </row>
    <row r="80" spans="2:25" s="41" customFormat="1" ht="20.25" customHeight="1">
      <c r="C80" s="42">
        <f>+IF(E80&lt;&gt;0,MAX($C$1:C79)+1,"")</f>
        <v>63</v>
      </c>
      <c r="D80" s="43">
        <v>100007002</v>
      </c>
      <c r="E80" s="44" t="s">
        <v>88</v>
      </c>
      <c r="F80" s="45" t="s">
        <v>127</v>
      </c>
      <c r="G80" s="46">
        <v>36708</v>
      </c>
      <c r="H80" s="47" t="s">
        <v>571</v>
      </c>
      <c r="I80" s="48" t="s">
        <v>629</v>
      </c>
      <c r="J80" s="46"/>
      <c r="K80" s="49"/>
      <c r="L80" s="50"/>
      <c r="M80" s="50"/>
      <c r="N80" s="50"/>
      <c r="O80" s="51"/>
      <c r="P80" s="49"/>
      <c r="Q80" s="51"/>
      <c r="R80" s="52"/>
      <c r="S80" s="49"/>
      <c r="T80" s="53"/>
      <c r="U80" s="48"/>
      <c r="V80" s="54"/>
    </row>
    <row r="81" spans="2:25" s="41" customFormat="1" ht="20.25" customHeight="1">
      <c r="C81" s="42">
        <f>+IF(E81&lt;&gt;0,MAX($C$1:C80)+1,"")</f>
        <v>64</v>
      </c>
      <c r="D81" s="43">
        <v>211509103</v>
      </c>
      <c r="E81" s="44" t="s">
        <v>329</v>
      </c>
      <c r="F81" s="45" t="s">
        <v>330</v>
      </c>
      <c r="G81" s="46">
        <v>42269</v>
      </c>
      <c r="H81" s="47" t="s">
        <v>24</v>
      </c>
      <c r="I81" s="48" t="s">
        <v>644</v>
      </c>
      <c r="J81" s="46"/>
      <c r="K81" s="49"/>
      <c r="L81" s="50"/>
      <c r="M81" s="50"/>
      <c r="N81" s="50"/>
      <c r="O81" s="51"/>
      <c r="P81" s="49"/>
      <c r="Q81" s="51"/>
      <c r="R81" s="52"/>
      <c r="S81" s="49"/>
      <c r="T81" s="53"/>
      <c r="U81" s="48"/>
      <c r="V81" s="54"/>
    </row>
    <row r="82" spans="2:25" s="41" customFormat="1" ht="20.25" customHeight="1">
      <c r="C82" s="42">
        <f>+IF(E82&lt;&gt;0,MAX($C$1:C81)+1,"")</f>
        <v>65</v>
      </c>
      <c r="D82" s="43">
        <v>401409036</v>
      </c>
      <c r="E82" s="44" t="s">
        <v>331</v>
      </c>
      <c r="F82" s="45" t="s">
        <v>332</v>
      </c>
      <c r="G82" s="46">
        <v>41904</v>
      </c>
      <c r="H82" s="47" t="s">
        <v>34</v>
      </c>
      <c r="I82" s="48" t="s">
        <v>644</v>
      </c>
      <c r="J82" s="46"/>
      <c r="K82" s="49"/>
      <c r="L82" s="50"/>
      <c r="M82" s="50"/>
      <c r="N82" s="50"/>
      <c r="O82" s="51"/>
      <c r="P82" s="49"/>
      <c r="Q82" s="51"/>
      <c r="R82" s="52"/>
      <c r="S82" s="49"/>
      <c r="T82" s="53"/>
      <c r="U82" s="48"/>
      <c r="V82" s="54"/>
    </row>
    <row r="83" spans="2:25" s="41" customFormat="1" ht="20.25" customHeight="1">
      <c r="C83" s="42">
        <f>+IF(E83&lt;&gt;0,MAX($C$1:C82)+1,"")</f>
        <v>66</v>
      </c>
      <c r="D83" s="43">
        <v>101806018</v>
      </c>
      <c r="E83" s="44" t="s">
        <v>327</v>
      </c>
      <c r="F83" s="45" t="s">
        <v>328</v>
      </c>
      <c r="G83" s="46">
        <v>43269</v>
      </c>
      <c r="H83" s="47" t="s">
        <v>34</v>
      </c>
      <c r="I83" s="48" t="s">
        <v>644</v>
      </c>
      <c r="J83" s="46"/>
      <c r="K83" s="49"/>
      <c r="L83" s="50"/>
      <c r="M83" s="50"/>
      <c r="N83" s="50"/>
      <c r="O83" s="51"/>
      <c r="P83" s="49"/>
      <c r="Q83" s="51"/>
      <c r="R83" s="52"/>
      <c r="S83" s="49"/>
      <c r="T83" s="53"/>
      <c r="U83" s="48"/>
      <c r="V83" s="54"/>
    </row>
    <row r="84" spans="2:25" s="41" customFormat="1" ht="20.25" customHeight="1">
      <c r="C84" s="42">
        <f>+IF(E84&lt;&gt;0,MAX($C$1:C83)+1,"")</f>
        <v>67</v>
      </c>
      <c r="D84" s="43">
        <v>301905001</v>
      </c>
      <c r="E84" s="44" t="s">
        <v>84</v>
      </c>
      <c r="F84" s="45" t="s">
        <v>333</v>
      </c>
      <c r="G84" s="46">
        <v>43587</v>
      </c>
      <c r="H84" s="47" t="s">
        <v>24</v>
      </c>
      <c r="I84" s="48" t="s">
        <v>644</v>
      </c>
      <c r="J84" s="46"/>
      <c r="K84" s="49"/>
      <c r="L84" s="50"/>
      <c r="M84" s="50"/>
      <c r="N84" s="50"/>
      <c r="O84" s="51"/>
      <c r="P84" s="49"/>
      <c r="Q84" s="51"/>
      <c r="R84" s="52"/>
      <c r="S84" s="49"/>
      <c r="T84" s="53"/>
      <c r="U84" s="48"/>
      <c r="V84" s="54"/>
    </row>
    <row r="85" spans="2:25" s="41" customFormat="1" ht="20.25" customHeight="1">
      <c r="C85" s="42">
        <f>+IF(E85&lt;&gt;0,MAX($C$1:C84)+1,"")</f>
        <v>68</v>
      </c>
      <c r="D85" s="43">
        <v>101302005</v>
      </c>
      <c r="E85" s="44" t="s">
        <v>36</v>
      </c>
      <c r="F85" s="45" t="s">
        <v>334</v>
      </c>
      <c r="G85" s="46">
        <v>41326</v>
      </c>
      <c r="H85" s="47" t="s">
        <v>34</v>
      </c>
      <c r="I85" s="48" t="s">
        <v>645</v>
      </c>
      <c r="J85" s="46"/>
      <c r="K85" s="49"/>
      <c r="L85" s="50"/>
      <c r="M85" s="50"/>
      <c r="N85" s="50"/>
      <c r="O85" s="51"/>
      <c r="P85" s="49"/>
      <c r="Q85" s="51"/>
      <c r="R85" s="52"/>
      <c r="S85" s="49"/>
      <c r="T85" s="53"/>
      <c r="U85" s="48"/>
      <c r="V85" s="54"/>
    </row>
    <row r="86" spans="2:25" s="41" customFormat="1" ht="20.25" customHeight="1">
      <c r="C86" s="42">
        <f>+IF(E86&lt;&gt;0,MAX($C$1:C85)+1,"")</f>
        <v>69</v>
      </c>
      <c r="D86" s="43">
        <v>101005004</v>
      </c>
      <c r="E86" s="44" t="s">
        <v>339</v>
      </c>
      <c r="F86" s="45" t="s">
        <v>340</v>
      </c>
      <c r="G86" s="46">
        <v>40315</v>
      </c>
      <c r="H86" s="47" t="s">
        <v>24</v>
      </c>
      <c r="I86" s="48" t="s">
        <v>645</v>
      </c>
      <c r="J86" s="46"/>
      <c r="K86" s="49"/>
      <c r="L86" s="50"/>
      <c r="M86" s="50"/>
      <c r="N86" s="50"/>
      <c r="O86" s="51"/>
      <c r="P86" s="49"/>
      <c r="Q86" s="51"/>
      <c r="R86" s="52"/>
      <c r="S86" s="49"/>
      <c r="T86" s="53"/>
      <c r="U86" s="48"/>
      <c r="V86" s="54"/>
    </row>
    <row r="87" spans="2:25" s="41" customFormat="1" ht="20.25" customHeight="1">
      <c r="C87" s="42">
        <f>+IF(E87&lt;&gt;0,MAX($C$1:C86)+1,"")</f>
        <v>70</v>
      </c>
      <c r="D87" s="43">
        <v>101301006</v>
      </c>
      <c r="E87" s="44" t="s">
        <v>314</v>
      </c>
      <c r="F87" s="45" t="s">
        <v>48</v>
      </c>
      <c r="G87" s="46">
        <v>41288</v>
      </c>
      <c r="H87" s="47" t="s">
        <v>31</v>
      </c>
      <c r="I87" s="48" t="s">
        <v>645</v>
      </c>
      <c r="J87" s="46"/>
      <c r="K87" s="49"/>
      <c r="L87" s="50"/>
      <c r="M87" s="50"/>
      <c r="N87" s="50"/>
      <c r="O87" s="51"/>
      <c r="P87" s="49"/>
      <c r="Q87" s="51"/>
      <c r="R87" s="52"/>
      <c r="S87" s="49"/>
      <c r="T87" s="53"/>
      <c r="U87" s="48"/>
      <c r="V87" s="54"/>
    </row>
    <row r="88" spans="2:25" s="41" customFormat="1" ht="20.25" customHeight="1">
      <c r="C88" s="42">
        <f>+IF(E88&lt;&gt;0,MAX($C$1:C87)+1,"")</f>
        <v>71</v>
      </c>
      <c r="D88" s="43">
        <v>102210009</v>
      </c>
      <c r="E88" s="44" t="s">
        <v>335</v>
      </c>
      <c r="F88" s="45" t="s">
        <v>99</v>
      </c>
      <c r="G88" s="46">
        <v>44837</v>
      </c>
      <c r="H88" s="47" t="s">
        <v>34</v>
      </c>
      <c r="I88" s="48" t="s">
        <v>645</v>
      </c>
      <c r="J88" s="46"/>
      <c r="K88" s="49"/>
      <c r="L88" s="50"/>
      <c r="M88" s="50"/>
      <c r="N88" s="50"/>
      <c r="O88" s="51"/>
      <c r="P88" s="49"/>
      <c r="Q88" s="51"/>
      <c r="R88" s="52"/>
      <c r="S88" s="49"/>
      <c r="T88" s="53"/>
      <c r="U88" s="48"/>
      <c r="V88" s="54"/>
    </row>
    <row r="89" spans="2:25" s="41" customFormat="1" ht="20.25" customHeight="1">
      <c r="C89" s="42">
        <f>+IF(E89&lt;&gt;0,MAX($C$1:C88)+1,"")</f>
        <v>72</v>
      </c>
      <c r="D89" s="43">
        <v>102207006</v>
      </c>
      <c r="E89" s="44" t="s">
        <v>337</v>
      </c>
      <c r="F89" s="45" t="s">
        <v>338</v>
      </c>
      <c r="G89" s="46">
        <v>44743</v>
      </c>
      <c r="H89" s="47" t="s">
        <v>24</v>
      </c>
      <c r="I89" s="48" t="s">
        <v>645</v>
      </c>
      <c r="J89" s="46"/>
      <c r="K89" s="49"/>
      <c r="L89" s="50"/>
      <c r="M89" s="50"/>
      <c r="N89" s="50"/>
      <c r="O89" s="51"/>
      <c r="P89" s="49"/>
      <c r="Q89" s="51"/>
      <c r="R89" s="52"/>
      <c r="S89" s="49"/>
      <c r="T89" s="53"/>
      <c r="U89" s="48"/>
      <c r="V89" s="54"/>
    </row>
    <row r="90" spans="2:25" s="41" customFormat="1" ht="20.25" customHeight="1">
      <c r="C90" s="42">
        <f>+IF(E90&lt;&gt;0,MAX($C$1:C89)+1,"")</f>
        <v>73</v>
      </c>
      <c r="D90" s="43">
        <v>102210010</v>
      </c>
      <c r="E90" s="44" t="s">
        <v>336</v>
      </c>
      <c r="F90" s="45" t="s">
        <v>102</v>
      </c>
      <c r="G90" s="46">
        <v>44837</v>
      </c>
      <c r="H90" s="47" t="s">
        <v>24</v>
      </c>
      <c r="I90" s="48" t="s">
        <v>645</v>
      </c>
      <c r="J90" s="46"/>
      <c r="K90" s="49"/>
      <c r="L90" s="50"/>
      <c r="M90" s="50"/>
      <c r="N90" s="50"/>
      <c r="O90" s="51"/>
      <c r="P90" s="49"/>
      <c r="Q90" s="51"/>
      <c r="R90" s="52"/>
      <c r="S90" s="49"/>
      <c r="T90" s="53"/>
      <c r="U90" s="48"/>
      <c r="V90" s="54"/>
    </row>
    <row r="91" spans="2:25" s="41" customFormat="1" ht="20.25" customHeight="1">
      <c r="B91" s="1"/>
      <c r="C91" s="242" t="s">
        <v>35</v>
      </c>
      <c r="D91" s="243"/>
      <c r="E91" s="244"/>
      <c r="F91" s="245"/>
      <c r="G91" s="246"/>
      <c r="H91" s="244"/>
      <c r="I91" s="245"/>
      <c r="J91" s="246"/>
      <c r="K91" s="32"/>
      <c r="L91" s="246"/>
      <c r="M91" s="243"/>
      <c r="N91" s="243"/>
      <c r="O91" s="246"/>
      <c r="P91" s="32"/>
      <c r="Q91" s="246"/>
      <c r="R91" s="247"/>
      <c r="S91" s="32"/>
      <c r="T91" s="248"/>
      <c r="U91" s="245"/>
      <c r="V91" s="54"/>
      <c r="W91" s="1"/>
      <c r="X91" s="1"/>
      <c r="Y91" s="1"/>
    </row>
    <row r="92" spans="2:25" s="41" customFormat="1" ht="20.25" customHeight="1">
      <c r="C92" s="42">
        <f>+IF(E92&lt;&gt;0,MAX($C$1:C90)+1,"")</f>
        <v>74</v>
      </c>
      <c r="D92" s="43">
        <v>100303001</v>
      </c>
      <c r="E92" s="44" t="s">
        <v>26</v>
      </c>
      <c r="F92" s="45" t="s">
        <v>27</v>
      </c>
      <c r="G92" s="46">
        <v>37681</v>
      </c>
      <c r="H92" s="47" t="s">
        <v>28</v>
      </c>
      <c r="I92" s="48" t="s">
        <v>35</v>
      </c>
      <c r="J92" s="46"/>
      <c r="K92" s="49"/>
      <c r="L92" s="50"/>
      <c r="M92" s="50"/>
      <c r="N92" s="50"/>
      <c r="O92" s="51"/>
      <c r="P92" s="49"/>
      <c r="Q92" s="51"/>
      <c r="R92" s="52"/>
      <c r="S92" s="49"/>
      <c r="T92" s="53"/>
      <c r="U92" s="48"/>
      <c r="V92" s="54"/>
    </row>
    <row r="93" spans="2:25" s="41" customFormat="1" ht="20.25" customHeight="1">
      <c r="C93" s="42">
        <f>+IF(E93&lt;&gt;0,MAX($C$1:C92)+1,"")</f>
        <v>75</v>
      </c>
      <c r="D93" s="43">
        <v>119707006</v>
      </c>
      <c r="E93" s="44" t="s">
        <v>45</v>
      </c>
      <c r="F93" s="45" t="s">
        <v>46</v>
      </c>
      <c r="G93" s="46">
        <v>35612</v>
      </c>
      <c r="H93" s="47" t="s">
        <v>24</v>
      </c>
      <c r="I93" s="48" t="s">
        <v>35</v>
      </c>
      <c r="J93" s="46"/>
      <c r="K93" s="49"/>
      <c r="L93" s="50"/>
      <c r="M93" s="50"/>
      <c r="N93" s="50"/>
      <c r="O93" s="51"/>
      <c r="P93" s="49"/>
      <c r="Q93" s="51"/>
      <c r="R93" s="52"/>
      <c r="S93" s="49"/>
      <c r="T93" s="53"/>
      <c r="U93" s="48"/>
      <c r="V93" s="54"/>
    </row>
    <row r="94" spans="2:25" s="41" customFormat="1" ht="20.25" customHeight="1">
      <c r="C94" s="42">
        <f>+IF(E94&lt;&gt;0,MAX($C$1:C93)+1,"")</f>
        <v>76</v>
      </c>
      <c r="D94" s="43">
        <v>100405004</v>
      </c>
      <c r="E94" s="44" t="s">
        <v>38</v>
      </c>
      <c r="F94" s="45" t="s">
        <v>39</v>
      </c>
      <c r="G94" s="46">
        <v>38108</v>
      </c>
      <c r="H94" s="47" t="s">
        <v>24</v>
      </c>
      <c r="I94" s="48" t="s">
        <v>35</v>
      </c>
      <c r="J94" s="46"/>
      <c r="K94" s="49"/>
      <c r="L94" s="50"/>
      <c r="M94" s="50"/>
      <c r="N94" s="50"/>
      <c r="O94" s="51"/>
      <c r="P94" s="49"/>
      <c r="Q94" s="51"/>
      <c r="R94" s="52"/>
      <c r="S94" s="49"/>
      <c r="T94" s="53"/>
      <c r="U94" s="48"/>
      <c r="V94" s="54"/>
    </row>
    <row r="95" spans="2:25" s="41" customFormat="1" ht="20.25" customHeight="1">
      <c r="C95" s="42">
        <f>+IF(E95&lt;&gt;0,MAX($C$1:C94)+1,"")</f>
        <v>77</v>
      </c>
      <c r="D95" s="43">
        <v>101302006</v>
      </c>
      <c r="E95" s="44" t="s">
        <v>29</v>
      </c>
      <c r="F95" s="45" t="s">
        <v>30</v>
      </c>
      <c r="G95" s="46">
        <v>41326</v>
      </c>
      <c r="H95" s="47" t="s">
        <v>31</v>
      </c>
      <c r="I95" s="48" t="s">
        <v>35</v>
      </c>
      <c r="J95" s="46"/>
      <c r="K95" s="49"/>
      <c r="L95" s="50"/>
      <c r="M95" s="50"/>
      <c r="N95" s="50"/>
      <c r="O95" s="51"/>
      <c r="P95" s="49"/>
      <c r="Q95" s="51"/>
      <c r="R95" s="52"/>
      <c r="S95" s="49"/>
      <c r="T95" s="53"/>
      <c r="U95" s="48"/>
      <c r="V95" s="54"/>
    </row>
    <row r="96" spans="2:25" s="41" customFormat="1" ht="20.25" customHeight="1">
      <c r="C96" s="42">
        <f>+IF(E96&lt;&gt;0,MAX($C$1:C95)+1,"")</f>
        <v>78</v>
      </c>
      <c r="D96" s="43">
        <v>101008006</v>
      </c>
      <c r="E96" s="44" t="s">
        <v>32</v>
      </c>
      <c r="F96" s="45" t="s">
        <v>33</v>
      </c>
      <c r="G96" s="46">
        <v>40407</v>
      </c>
      <c r="H96" s="47" t="s">
        <v>34</v>
      </c>
      <c r="I96" s="48" t="s">
        <v>35</v>
      </c>
      <c r="J96" s="46"/>
      <c r="K96" s="49"/>
      <c r="L96" s="50"/>
      <c r="M96" s="50"/>
      <c r="N96" s="50"/>
      <c r="O96" s="51"/>
      <c r="P96" s="49"/>
      <c r="Q96" s="51"/>
      <c r="R96" s="52"/>
      <c r="S96" s="49"/>
      <c r="T96" s="53"/>
      <c r="U96" s="48"/>
      <c r="V96" s="54"/>
    </row>
    <row r="97" spans="2:25" s="41" customFormat="1" ht="20.25" customHeight="1">
      <c r="C97" s="42">
        <f>+IF(E97&lt;&gt;0,MAX($C$1:C96)+1,"")</f>
        <v>79</v>
      </c>
      <c r="D97" s="43">
        <v>241607008</v>
      </c>
      <c r="E97" s="44" t="s">
        <v>43</v>
      </c>
      <c r="F97" s="45" t="s">
        <v>44</v>
      </c>
      <c r="G97" s="46">
        <v>42565</v>
      </c>
      <c r="H97" s="47" t="s">
        <v>24</v>
      </c>
      <c r="I97" s="48" t="s">
        <v>35</v>
      </c>
      <c r="J97" s="46"/>
      <c r="K97" s="49"/>
      <c r="L97" s="50"/>
      <c r="M97" s="50"/>
      <c r="N97" s="50"/>
      <c r="O97" s="51"/>
      <c r="P97" s="49"/>
      <c r="Q97" s="51"/>
      <c r="R97" s="52"/>
      <c r="S97" s="49"/>
      <c r="T97" s="53"/>
      <c r="U97" s="48"/>
      <c r="V97" s="54"/>
    </row>
    <row r="98" spans="2:25" s="41" customFormat="1" ht="20.25" customHeight="1">
      <c r="C98" s="42">
        <f>+IF(E98&lt;&gt;0,MAX($C$1:C97)+1,"")</f>
        <v>80</v>
      </c>
      <c r="D98" s="43">
        <v>681610001</v>
      </c>
      <c r="E98" s="44" t="s">
        <v>41</v>
      </c>
      <c r="F98" s="45" t="s">
        <v>42</v>
      </c>
      <c r="G98" s="46">
        <v>42648</v>
      </c>
      <c r="H98" s="47" t="s">
        <v>24</v>
      </c>
      <c r="I98" s="48" t="s">
        <v>35</v>
      </c>
      <c r="J98" s="46"/>
      <c r="K98" s="49"/>
      <c r="L98" s="50"/>
      <c r="M98" s="50"/>
      <c r="N98" s="50"/>
      <c r="O98" s="51"/>
      <c r="P98" s="49"/>
      <c r="Q98" s="51"/>
      <c r="R98" s="52"/>
      <c r="S98" s="49"/>
      <c r="T98" s="53"/>
      <c r="U98" s="48"/>
      <c r="V98" s="54"/>
    </row>
    <row r="99" spans="2:25" s="41" customFormat="1" ht="20.25" customHeight="1">
      <c r="C99" s="42">
        <f>+IF(E99&lt;&gt;0,MAX($C$1:C98)+1,"")</f>
        <v>81</v>
      </c>
      <c r="D99" s="43">
        <v>102101010</v>
      </c>
      <c r="E99" s="44" t="s">
        <v>36</v>
      </c>
      <c r="F99" s="45" t="s">
        <v>37</v>
      </c>
      <c r="G99" s="46">
        <v>44203</v>
      </c>
      <c r="H99" s="47" t="s">
        <v>24</v>
      </c>
      <c r="I99" s="48" t="s">
        <v>35</v>
      </c>
      <c r="J99" s="46"/>
      <c r="K99" s="49"/>
      <c r="L99" s="50"/>
      <c r="M99" s="50"/>
      <c r="N99" s="50"/>
      <c r="O99" s="51"/>
      <c r="P99" s="49"/>
      <c r="Q99" s="51"/>
      <c r="R99" s="52"/>
      <c r="S99" s="49"/>
      <c r="T99" s="53"/>
      <c r="U99" s="48"/>
      <c r="V99" s="54"/>
    </row>
    <row r="100" spans="2:25" s="41" customFormat="1" ht="20.25" customHeight="1">
      <c r="C100" s="42">
        <f>+IF(E100&lt;&gt;0,MAX($C$1:C99)+1,"")</f>
        <v>82</v>
      </c>
      <c r="D100" s="43">
        <v>102412008</v>
      </c>
      <c r="E100" s="44" t="s">
        <v>594</v>
      </c>
      <c r="F100" s="45" t="s">
        <v>391</v>
      </c>
      <c r="G100" s="46">
        <v>45636</v>
      </c>
      <c r="H100" s="47" t="s">
        <v>24</v>
      </c>
      <c r="I100" s="48" t="s">
        <v>35</v>
      </c>
      <c r="J100" s="46"/>
      <c r="K100" s="49"/>
      <c r="L100" s="50"/>
      <c r="M100" s="50"/>
      <c r="N100" s="50"/>
      <c r="O100" s="51"/>
      <c r="P100" s="49"/>
      <c r="Q100" s="51"/>
      <c r="R100" s="52"/>
      <c r="S100" s="49"/>
      <c r="T100" s="53"/>
      <c r="U100" s="48"/>
      <c r="V100" s="54"/>
    </row>
    <row r="101" spans="2:25" s="41" customFormat="1" ht="20.25" customHeight="1">
      <c r="B101" s="1"/>
      <c r="C101" s="242" t="s">
        <v>410</v>
      </c>
      <c r="D101" s="243"/>
      <c r="E101" s="244"/>
      <c r="F101" s="245"/>
      <c r="G101" s="246"/>
      <c r="H101" s="244"/>
      <c r="I101" s="245"/>
      <c r="J101" s="246"/>
      <c r="K101" s="32"/>
      <c r="L101" s="246"/>
      <c r="M101" s="243"/>
      <c r="N101" s="243"/>
      <c r="O101" s="246"/>
      <c r="P101" s="32"/>
      <c r="Q101" s="246"/>
      <c r="R101" s="247"/>
      <c r="S101" s="32"/>
      <c r="T101" s="248"/>
      <c r="U101" s="245"/>
      <c r="V101" s="54"/>
      <c r="W101" s="1"/>
      <c r="X101" s="1"/>
      <c r="Y101" s="1"/>
    </row>
    <row r="102" spans="2:25" s="41" customFormat="1" ht="20.25" customHeight="1">
      <c r="C102" s="42">
        <f>+IF(E102&lt;&gt;0,MAX($C$1:C100)+1,"")</f>
        <v>83</v>
      </c>
      <c r="D102" s="43">
        <v>309603001</v>
      </c>
      <c r="E102" s="44" t="s">
        <v>411</v>
      </c>
      <c r="F102" s="45" t="s">
        <v>391</v>
      </c>
      <c r="G102" s="46">
        <v>35125</v>
      </c>
      <c r="H102" s="47" t="s">
        <v>21</v>
      </c>
      <c r="I102" s="48" t="s">
        <v>646</v>
      </c>
      <c r="J102" s="46"/>
      <c r="K102" s="49"/>
      <c r="L102" s="50"/>
      <c r="M102" s="50"/>
      <c r="N102" s="50"/>
      <c r="O102" s="51"/>
      <c r="P102" s="49"/>
      <c r="Q102" s="51"/>
      <c r="R102" s="52"/>
      <c r="S102" s="49"/>
      <c r="T102" s="53"/>
      <c r="U102" s="48"/>
      <c r="V102" s="54"/>
    </row>
    <row r="103" spans="2:25" s="41" customFormat="1" ht="20.25" customHeight="1">
      <c r="C103" s="42">
        <f>+IF(E103&lt;&gt;0,MAX($C$1:C102)+1,"")</f>
        <v>84</v>
      </c>
      <c r="D103" s="43">
        <v>109307021</v>
      </c>
      <c r="E103" s="44" t="s">
        <v>412</v>
      </c>
      <c r="F103" s="45" t="s">
        <v>413</v>
      </c>
      <c r="G103" s="46">
        <v>34151</v>
      </c>
      <c r="H103" s="47" t="s">
        <v>52</v>
      </c>
      <c r="I103" s="48" t="s">
        <v>647</v>
      </c>
      <c r="J103" s="46"/>
      <c r="K103" s="49"/>
      <c r="L103" s="50"/>
      <c r="M103" s="50"/>
      <c r="N103" s="50"/>
      <c r="O103" s="51"/>
      <c r="P103" s="49"/>
      <c r="Q103" s="51"/>
      <c r="R103" s="52"/>
      <c r="S103" s="49"/>
      <c r="T103" s="53"/>
      <c r="U103" s="48"/>
      <c r="V103" s="54"/>
    </row>
    <row r="104" spans="2:25" s="41" customFormat="1" ht="20.25" customHeight="1">
      <c r="C104" s="42">
        <f>+IF(E104&lt;&gt;0,MAX($C$1:C103)+1,"")</f>
        <v>85</v>
      </c>
      <c r="D104" s="43">
        <v>300608001</v>
      </c>
      <c r="E104" s="44" t="s">
        <v>595</v>
      </c>
      <c r="F104" s="45" t="s">
        <v>77</v>
      </c>
      <c r="G104" s="46">
        <v>38957</v>
      </c>
      <c r="H104" s="47" t="s">
        <v>648</v>
      </c>
      <c r="I104" s="48" t="s">
        <v>649</v>
      </c>
      <c r="J104" s="46"/>
      <c r="K104" s="49"/>
      <c r="L104" s="50"/>
      <c r="M104" s="50"/>
      <c r="N104" s="50"/>
      <c r="O104" s="51"/>
      <c r="P104" s="49"/>
      <c r="Q104" s="51"/>
      <c r="R104" s="52"/>
      <c r="S104" s="49"/>
      <c r="T104" s="53"/>
      <c r="U104" s="48"/>
      <c r="V104" s="54"/>
    </row>
    <row r="105" spans="2:25" s="41" customFormat="1" ht="20.25" customHeight="1">
      <c r="C105" s="42">
        <f>+IF(E105&lt;&gt;0,MAX($C$1:C104)+1,"")</f>
        <v>86</v>
      </c>
      <c r="D105" s="43">
        <v>202012001</v>
      </c>
      <c r="E105" s="44" t="s">
        <v>420</v>
      </c>
      <c r="F105" s="45" t="s">
        <v>140</v>
      </c>
      <c r="G105" s="46">
        <v>44166</v>
      </c>
      <c r="H105" s="47" t="s">
        <v>24</v>
      </c>
      <c r="I105" s="48" t="s">
        <v>650</v>
      </c>
      <c r="J105" s="46"/>
      <c r="K105" s="49"/>
      <c r="L105" s="50"/>
      <c r="M105" s="50"/>
      <c r="N105" s="50"/>
      <c r="O105" s="51"/>
      <c r="P105" s="49"/>
      <c r="Q105" s="51"/>
      <c r="R105" s="52"/>
      <c r="S105" s="49"/>
      <c r="T105" s="53"/>
      <c r="U105" s="48"/>
      <c r="V105" s="54"/>
    </row>
    <row r="106" spans="2:25" s="41" customFormat="1" ht="20.25" customHeight="1">
      <c r="C106" s="42">
        <f>+IF(E106&lt;&gt;0,MAX($C$1:C105)+1,"")</f>
        <v>87</v>
      </c>
      <c r="D106" s="43">
        <v>101707016</v>
      </c>
      <c r="E106" s="44" t="s">
        <v>414</v>
      </c>
      <c r="F106" s="45" t="s">
        <v>191</v>
      </c>
      <c r="G106" s="46">
        <v>42936</v>
      </c>
      <c r="H106" s="47" t="s">
        <v>571</v>
      </c>
      <c r="I106" s="48" t="s">
        <v>629</v>
      </c>
      <c r="J106" s="46"/>
      <c r="K106" s="49"/>
      <c r="L106" s="50"/>
      <c r="M106" s="50"/>
      <c r="N106" s="50"/>
      <c r="O106" s="51"/>
      <c r="P106" s="49"/>
      <c r="Q106" s="51"/>
      <c r="R106" s="52"/>
      <c r="S106" s="49"/>
      <c r="T106" s="53"/>
      <c r="U106" s="48"/>
      <c r="V106" s="54"/>
    </row>
    <row r="107" spans="2:25" s="41" customFormat="1" ht="20.25" customHeight="1">
      <c r="C107" s="42">
        <f>+IF(E107&lt;&gt;0,MAX($C$1:C106)+1,"")</f>
        <v>88</v>
      </c>
      <c r="D107" s="43">
        <v>301504001</v>
      </c>
      <c r="E107" s="44" t="s">
        <v>415</v>
      </c>
      <c r="F107" s="45" t="s">
        <v>97</v>
      </c>
      <c r="G107" s="46">
        <v>42095</v>
      </c>
      <c r="H107" s="47" t="s">
        <v>24</v>
      </c>
      <c r="I107" s="48" t="s">
        <v>651</v>
      </c>
      <c r="J107" s="46"/>
      <c r="K107" s="49"/>
      <c r="L107" s="50"/>
      <c r="M107" s="50"/>
      <c r="N107" s="50"/>
      <c r="O107" s="51"/>
      <c r="P107" s="49"/>
      <c r="Q107" s="51"/>
      <c r="R107" s="52"/>
      <c r="S107" s="49"/>
      <c r="T107" s="53"/>
      <c r="U107" s="48"/>
      <c r="V107" s="54"/>
    </row>
    <row r="108" spans="2:25" s="41" customFormat="1" ht="20.25" customHeight="1">
      <c r="B108" s="1"/>
      <c r="C108" s="242" t="s">
        <v>677</v>
      </c>
      <c r="D108" s="243"/>
      <c r="E108" s="244"/>
      <c r="F108" s="245"/>
      <c r="G108" s="246"/>
      <c r="H108" s="244"/>
      <c r="I108" s="245"/>
      <c r="J108" s="246"/>
      <c r="K108" s="32"/>
      <c r="L108" s="246"/>
      <c r="M108" s="243"/>
      <c r="N108" s="243"/>
      <c r="O108" s="246"/>
      <c r="P108" s="32"/>
      <c r="Q108" s="246"/>
      <c r="R108" s="247"/>
      <c r="S108" s="32"/>
      <c r="T108" s="248"/>
      <c r="U108" s="245"/>
      <c r="V108" s="54"/>
      <c r="W108" s="1"/>
      <c r="X108" s="1"/>
      <c r="Y108" s="1"/>
    </row>
    <row r="109" spans="2:25" s="41" customFormat="1" ht="20.25" customHeight="1">
      <c r="C109" s="42">
        <f>+IF(E109&lt;&gt;0,MAX($C$1:C107)+1,"")</f>
        <v>89</v>
      </c>
      <c r="D109" s="43">
        <v>100105001</v>
      </c>
      <c r="E109" s="44" t="s">
        <v>50</v>
      </c>
      <c r="F109" s="45" t="s">
        <v>57</v>
      </c>
      <c r="G109" s="46">
        <v>37012</v>
      </c>
      <c r="H109" s="47" t="s">
        <v>61</v>
      </c>
      <c r="I109" s="48" t="s">
        <v>652</v>
      </c>
      <c r="J109" s="46"/>
      <c r="K109" s="49"/>
      <c r="L109" s="50"/>
      <c r="M109" s="50"/>
      <c r="N109" s="50"/>
      <c r="O109" s="51"/>
      <c r="P109" s="49"/>
      <c r="Q109" s="51"/>
      <c r="R109" s="52"/>
      <c r="S109" s="49"/>
      <c r="T109" s="53"/>
      <c r="U109" s="48"/>
      <c r="V109" s="54"/>
    </row>
    <row r="110" spans="2:25" s="41" customFormat="1" ht="20.25" customHeight="1">
      <c r="C110" s="42">
        <f>+IF(E110&lt;&gt;0,MAX($C$1:C109)+1,"")</f>
        <v>90</v>
      </c>
      <c r="D110" s="43">
        <v>109307003</v>
      </c>
      <c r="E110" s="44" t="s">
        <v>43</v>
      </c>
      <c r="F110" s="45" t="s">
        <v>20</v>
      </c>
      <c r="G110" s="46">
        <v>34151</v>
      </c>
      <c r="H110" s="47" t="s">
        <v>24</v>
      </c>
      <c r="I110" s="48" t="s">
        <v>421</v>
      </c>
      <c r="J110" s="46"/>
      <c r="K110" s="49"/>
      <c r="L110" s="50"/>
      <c r="M110" s="50"/>
      <c r="N110" s="50"/>
      <c r="O110" s="51"/>
      <c r="P110" s="49"/>
      <c r="Q110" s="51"/>
      <c r="R110" s="52"/>
      <c r="S110" s="49"/>
      <c r="T110" s="53"/>
      <c r="U110" s="48"/>
      <c r="V110" s="54"/>
    </row>
    <row r="111" spans="2:25" s="41" customFormat="1" ht="20.25" customHeight="1">
      <c r="C111" s="42">
        <f>+IF(E111&lt;&gt;0,MAX($C$1:C110)+1,"")</f>
        <v>91</v>
      </c>
      <c r="D111" s="43">
        <v>111505113</v>
      </c>
      <c r="E111" s="44" t="s">
        <v>425</v>
      </c>
      <c r="F111" s="45" t="s">
        <v>426</v>
      </c>
      <c r="G111" s="46">
        <v>42132</v>
      </c>
      <c r="H111" s="47" t="s">
        <v>24</v>
      </c>
      <c r="I111" s="48" t="s">
        <v>421</v>
      </c>
      <c r="J111" s="46"/>
      <c r="K111" s="49"/>
      <c r="L111" s="50"/>
      <c r="M111" s="50"/>
      <c r="N111" s="50"/>
      <c r="O111" s="51"/>
      <c r="P111" s="49"/>
      <c r="Q111" s="51"/>
      <c r="R111" s="52"/>
      <c r="S111" s="49"/>
      <c r="T111" s="53"/>
      <c r="U111" s="48"/>
      <c r="V111" s="54"/>
    </row>
    <row r="112" spans="2:25" s="41" customFormat="1" ht="20.25" customHeight="1">
      <c r="C112" s="42">
        <f>+IF(E112&lt;&gt;0,MAX($C$1:C111)+1,"")</f>
        <v>92</v>
      </c>
      <c r="D112" s="43">
        <v>102007002</v>
      </c>
      <c r="E112" s="44" t="s">
        <v>422</v>
      </c>
      <c r="F112" s="45" t="s">
        <v>423</v>
      </c>
      <c r="G112" s="46">
        <v>44013</v>
      </c>
      <c r="H112" s="47" t="s">
        <v>24</v>
      </c>
      <c r="I112" s="48" t="s">
        <v>421</v>
      </c>
      <c r="J112" s="46"/>
      <c r="K112" s="49"/>
      <c r="L112" s="50"/>
      <c r="M112" s="50"/>
      <c r="N112" s="50"/>
      <c r="O112" s="51"/>
      <c r="P112" s="49"/>
      <c r="Q112" s="51"/>
      <c r="R112" s="52"/>
      <c r="S112" s="49"/>
      <c r="T112" s="53"/>
      <c r="U112" s="48"/>
      <c r="V112" s="54"/>
    </row>
    <row r="113" spans="3:22" s="41" customFormat="1" ht="20.25" customHeight="1">
      <c r="C113" s="42">
        <f>+IF(E113&lt;&gt;0,MAX($C$1:C112)+1,"")</f>
        <v>93</v>
      </c>
      <c r="D113" s="43">
        <v>311705232</v>
      </c>
      <c r="E113" s="44" t="s">
        <v>596</v>
      </c>
      <c r="F113" s="45" t="s">
        <v>81</v>
      </c>
      <c r="G113" s="46">
        <v>42864</v>
      </c>
      <c r="H113" s="47" t="s">
        <v>24</v>
      </c>
      <c r="I113" s="48" t="s">
        <v>421</v>
      </c>
      <c r="J113" s="46"/>
      <c r="K113" s="49"/>
      <c r="L113" s="50"/>
      <c r="M113" s="50"/>
      <c r="N113" s="50"/>
      <c r="O113" s="51"/>
      <c r="P113" s="49"/>
      <c r="Q113" s="51"/>
      <c r="R113" s="52"/>
      <c r="S113" s="49"/>
      <c r="T113" s="53"/>
      <c r="U113" s="48"/>
      <c r="V113" s="54"/>
    </row>
    <row r="114" spans="3:22" s="41" customFormat="1" ht="20.25" customHeight="1">
      <c r="C114" s="42">
        <f>+IF(E114&lt;&gt;0,MAX($C$1:C113)+1,"")</f>
        <v>94</v>
      </c>
      <c r="D114" s="43">
        <v>100610005</v>
      </c>
      <c r="E114" s="44" t="s">
        <v>207</v>
      </c>
      <c r="F114" s="45" t="s">
        <v>268</v>
      </c>
      <c r="G114" s="46">
        <v>39007</v>
      </c>
      <c r="H114" s="47" t="s">
        <v>24</v>
      </c>
      <c r="I114" s="48" t="s">
        <v>652</v>
      </c>
      <c r="J114" s="46"/>
      <c r="K114" s="49"/>
      <c r="L114" s="50"/>
      <c r="M114" s="50"/>
      <c r="N114" s="50"/>
      <c r="O114" s="51"/>
      <c r="P114" s="49"/>
      <c r="Q114" s="51"/>
      <c r="R114" s="52"/>
      <c r="S114" s="49"/>
      <c r="T114" s="53"/>
      <c r="U114" s="48"/>
      <c r="V114" s="54"/>
    </row>
    <row r="115" spans="3:22" s="41" customFormat="1" ht="20.25" customHeight="1">
      <c r="C115" s="42">
        <f>+IF(E115&lt;&gt;0,MAX($C$1:C114)+1,"")</f>
        <v>95</v>
      </c>
      <c r="D115" s="43">
        <v>101811024</v>
      </c>
      <c r="E115" s="44" t="s">
        <v>69</v>
      </c>
      <c r="F115" s="45" t="s">
        <v>408</v>
      </c>
      <c r="G115" s="46">
        <v>43423</v>
      </c>
      <c r="H115" s="47" t="s">
        <v>24</v>
      </c>
      <c r="I115" s="48" t="s">
        <v>652</v>
      </c>
      <c r="J115" s="46"/>
      <c r="K115" s="49"/>
      <c r="L115" s="50"/>
      <c r="M115" s="50"/>
      <c r="N115" s="50"/>
      <c r="O115" s="51"/>
      <c r="P115" s="49"/>
      <c r="Q115" s="51"/>
      <c r="R115" s="52"/>
      <c r="S115" s="49"/>
      <c r="T115" s="53"/>
      <c r="U115" s="48"/>
      <c r="V115" s="54"/>
    </row>
    <row r="116" spans="3:22" s="41" customFormat="1" ht="20.25" customHeight="1">
      <c r="C116" s="42">
        <f>+IF(E116&lt;&gt;0,MAX($C$1:C115)+1,"")</f>
        <v>96</v>
      </c>
      <c r="D116" s="43">
        <v>102007009</v>
      </c>
      <c r="E116" s="44" t="s">
        <v>66</v>
      </c>
      <c r="F116" s="45" t="s">
        <v>419</v>
      </c>
      <c r="G116" s="46">
        <v>44025</v>
      </c>
      <c r="H116" s="47" t="s">
        <v>24</v>
      </c>
      <c r="I116" s="48" t="s">
        <v>652</v>
      </c>
      <c r="J116" s="46"/>
      <c r="K116" s="49"/>
      <c r="L116" s="50"/>
      <c r="M116" s="50"/>
      <c r="N116" s="50"/>
      <c r="O116" s="51"/>
      <c r="P116" s="49"/>
      <c r="Q116" s="51"/>
      <c r="R116" s="52"/>
      <c r="S116" s="49"/>
      <c r="T116" s="53"/>
      <c r="U116" s="48"/>
      <c r="V116" s="54"/>
    </row>
    <row r="117" spans="3:22" s="41" customFormat="1" ht="20.25" customHeight="1">
      <c r="C117" s="42">
        <f>+IF(E117&lt;&gt;0,MAX($C$1:C116)+1,"")</f>
        <v>97</v>
      </c>
      <c r="D117" s="43">
        <v>200603003</v>
      </c>
      <c r="E117" s="44" t="s">
        <v>207</v>
      </c>
      <c r="F117" s="45" t="s">
        <v>81</v>
      </c>
      <c r="G117" s="46">
        <v>38789</v>
      </c>
      <c r="H117" s="47" t="s">
        <v>24</v>
      </c>
      <c r="I117" s="48" t="s">
        <v>652</v>
      </c>
      <c r="J117" s="46"/>
      <c r="K117" s="49"/>
      <c r="L117" s="50"/>
      <c r="M117" s="50"/>
      <c r="N117" s="50"/>
      <c r="O117" s="51"/>
      <c r="P117" s="49"/>
      <c r="Q117" s="51"/>
      <c r="R117" s="52"/>
      <c r="S117" s="49"/>
      <c r="T117" s="53"/>
      <c r="U117" s="48"/>
      <c r="V117" s="54"/>
    </row>
    <row r="118" spans="3:22" s="41" customFormat="1" ht="20.25" customHeight="1">
      <c r="C118" s="42">
        <f>+IF(E118&lt;&gt;0,MAX($C$1:C117)+1,"")</f>
        <v>98</v>
      </c>
      <c r="D118" s="43">
        <v>102504022</v>
      </c>
      <c r="E118" s="44" t="s">
        <v>597</v>
      </c>
      <c r="F118" s="45" t="s">
        <v>222</v>
      </c>
      <c r="G118" s="46">
        <v>45761</v>
      </c>
      <c r="H118" s="47" t="s">
        <v>24</v>
      </c>
      <c r="I118" s="48" t="s">
        <v>652</v>
      </c>
      <c r="J118" s="46"/>
      <c r="K118" s="49"/>
      <c r="L118" s="50"/>
      <c r="M118" s="50"/>
      <c r="N118" s="50"/>
      <c r="O118" s="51"/>
      <c r="P118" s="49"/>
      <c r="Q118" s="51"/>
      <c r="R118" s="52"/>
      <c r="S118" s="49"/>
      <c r="T118" s="53"/>
      <c r="U118" s="48"/>
      <c r="V118" s="54"/>
    </row>
    <row r="119" spans="3:22" s="41" customFormat="1" ht="20.25" customHeight="1">
      <c r="C119" s="42">
        <f>+IF(E119&lt;&gt;0,MAX($C$1:C118)+1,"")</f>
        <v>99</v>
      </c>
      <c r="D119" s="43">
        <v>101103010</v>
      </c>
      <c r="E119" s="44" t="s">
        <v>416</v>
      </c>
      <c r="F119" s="45" t="s">
        <v>163</v>
      </c>
      <c r="G119" s="46">
        <v>40617</v>
      </c>
      <c r="H119" s="47" t="s">
        <v>24</v>
      </c>
      <c r="I119" s="48" t="s">
        <v>417</v>
      </c>
      <c r="J119" s="46"/>
      <c r="K119" s="49"/>
      <c r="L119" s="50"/>
      <c r="M119" s="50"/>
      <c r="N119" s="50"/>
      <c r="O119" s="51"/>
      <c r="P119" s="49"/>
      <c r="Q119" s="51"/>
      <c r="R119" s="52"/>
      <c r="S119" s="49"/>
      <c r="T119" s="53"/>
      <c r="U119" s="48"/>
      <c r="V119" s="54"/>
    </row>
    <row r="120" spans="3:22" s="41" customFormat="1" ht="20.25" customHeight="1">
      <c r="C120" s="42">
        <f>+IF(E120&lt;&gt;0,MAX($C$1:C119)+1,"")</f>
        <v>100</v>
      </c>
      <c r="D120" s="43">
        <v>102007008</v>
      </c>
      <c r="E120" s="44" t="s">
        <v>275</v>
      </c>
      <c r="F120" s="45" t="s">
        <v>373</v>
      </c>
      <c r="G120" s="46">
        <v>44025</v>
      </c>
      <c r="H120" s="47" t="s">
        <v>24</v>
      </c>
      <c r="I120" s="48" t="s">
        <v>417</v>
      </c>
      <c r="J120" s="46"/>
      <c r="K120" s="49"/>
      <c r="L120" s="50"/>
      <c r="M120" s="50"/>
      <c r="N120" s="50"/>
      <c r="O120" s="51"/>
      <c r="P120" s="49"/>
      <c r="Q120" s="51"/>
      <c r="R120" s="52"/>
      <c r="S120" s="49"/>
      <c r="T120" s="53"/>
      <c r="U120" s="48"/>
      <c r="V120" s="54"/>
    </row>
    <row r="121" spans="3:22" s="41" customFormat="1" ht="20.25" customHeight="1">
      <c r="C121" s="42">
        <f>+IF(E121&lt;&gt;0,MAX($C$1:C120)+1,"")</f>
        <v>101</v>
      </c>
      <c r="D121" s="43">
        <v>102409036</v>
      </c>
      <c r="E121" s="44" t="s">
        <v>418</v>
      </c>
      <c r="F121" s="45" t="s">
        <v>124</v>
      </c>
      <c r="G121" s="46">
        <v>45558</v>
      </c>
      <c r="H121" s="47" t="s">
        <v>24</v>
      </c>
      <c r="I121" s="48" t="s">
        <v>417</v>
      </c>
      <c r="J121" s="46"/>
      <c r="K121" s="49"/>
      <c r="L121" s="50"/>
      <c r="M121" s="50"/>
      <c r="N121" s="50"/>
      <c r="O121" s="51"/>
      <c r="P121" s="49"/>
      <c r="Q121" s="51"/>
      <c r="R121" s="52"/>
      <c r="S121" s="49"/>
      <c r="T121" s="53"/>
      <c r="U121" s="48"/>
      <c r="V121" s="54"/>
    </row>
    <row r="122" spans="3:22" s="41" customFormat="1" ht="20.25" customHeight="1">
      <c r="C122" s="42">
        <f>+IF(E122&lt;&gt;0,MAX($C$1:C121)+1,"")</f>
        <v>102</v>
      </c>
      <c r="D122" s="43">
        <v>201202004</v>
      </c>
      <c r="E122" s="44" t="s">
        <v>226</v>
      </c>
      <c r="F122" s="45" t="s">
        <v>183</v>
      </c>
      <c r="G122" s="46">
        <v>40949</v>
      </c>
      <c r="H122" s="47" t="s">
        <v>24</v>
      </c>
      <c r="I122" s="48" t="s">
        <v>428</v>
      </c>
      <c r="J122" s="46"/>
      <c r="K122" s="49"/>
      <c r="L122" s="50"/>
      <c r="M122" s="50"/>
      <c r="N122" s="50"/>
      <c r="O122" s="51"/>
      <c r="P122" s="49"/>
      <c r="Q122" s="51"/>
      <c r="R122" s="52"/>
      <c r="S122" s="49"/>
      <c r="T122" s="53"/>
      <c r="U122" s="48"/>
      <c r="V122" s="54"/>
    </row>
    <row r="123" spans="3:22" s="41" customFormat="1" ht="20.25" customHeight="1">
      <c r="C123" s="42">
        <f>+IF(E123&lt;&gt;0,MAX($C$1:C122)+1,"")</f>
        <v>103</v>
      </c>
      <c r="D123" s="43">
        <v>109608001</v>
      </c>
      <c r="E123" s="44" t="s">
        <v>429</v>
      </c>
      <c r="F123" s="45" t="s">
        <v>430</v>
      </c>
      <c r="G123" s="46">
        <v>35278</v>
      </c>
      <c r="H123" s="47" t="s">
        <v>31</v>
      </c>
      <c r="I123" s="48" t="s">
        <v>428</v>
      </c>
      <c r="J123" s="46"/>
      <c r="K123" s="49"/>
      <c r="L123" s="50"/>
      <c r="M123" s="50"/>
      <c r="N123" s="50"/>
      <c r="O123" s="51"/>
      <c r="P123" s="49"/>
      <c r="Q123" s="51"/>
      <c r="R123" s="52"/>
      <c r="S123" s="49"/>
      <c r="T123" s="53"/>
      <c r="U123" s="48"/>
      <c r="V123" s="54"/>
    </row>
    <row r="124" spans="3:22" s="41" customFormat="1" ht="20.25" customHeight="1">
      <c r="C124" s="42">
        <f>+IF(E124&lt;&gt;0,MAX($C$1:C123)+1,"")</f>
        <v>104</v>
      </c>
      <c r="D124" s="43">
        <v>100805001</v>
      </c>
      <c r="E124" s="44" t="s">
        <v>442</v>
      </c>
      <c r="F124" s="45" t="s">
        <v>443</v>
      </c>
      <c r="G124" s="46">
        <v>39570</v>
      </c>
      <c r="H124" s="47" t="s">
        <v>24</v>
      </c>
      <c r="I124" s="48" t="s">
        <v>428</v>
      </c>
      <c r="J124" s="46"/>
      <c r="K124" s="49"/>
      <c r="L124" s="50"/>
      <c r="M124" s="50"/>
      <c r="N124" s="50"/>
      <c r="O124" s="51"/>
      <c r="P124" s="49"/>
      <c r="Q124" s="51"/>
      <c r="R124" s="52"/>
      <c r="S124" s="49"/>
      <c r="T124" s="53"/>
      <c r="U124" s="48"/>
      <c r="V124" s="54"/>
    </row>
    <row r="125" spans="3:22" s="41" customFormat="1" ht="20.25" customHeight="1">
      <c r="C125" s="42">
        <f>+IF(E125&lt;&gt;0,MAX($C$1:C124)+1,"")</f>
        <v>105</v>
      </c>
      <c r="D125" s="43">
        <v>100701001</v>
      </c>
      <c r="E125" s="44" t="s">
        <v>431</v>
      </c>
      <c r="F125" s="45" t="s">
        <v>87</v>
      </c>
      <c r="G125" s="46">
        <v>39104</v>
      </c>
      <c r="H125" s="47" t="s">
        <v>24</v>
      </c>
      <c r="I125" s="48" t="s">
        <v>428</v>
      </c>
      <c r="J125" s="46"/>
      <c r="K125" s="49"/>
      <c r="L125" s="50"/>
      <c r="M125" s="50"/>
      <c r="N125" s="50"/>
      <c r="O125" s="51"/>
      <c r="P125" s="49"/>
      <c r="Q125" s="51"/>
      <c r="R125" s="52"/>
      <c r="S125" s="49"/>
      <c r="T125" s="53"/>
      <c r="U125" s="48"/>
      <c r="V125" s="54"/>
    </row>
    <row r="126" spans="3:22" s="41" customFormat="1" ht="20.25" customHeight="1">
      <c r="C126" s="42">
        <f>+IF(E126&lt;&gt;0,MAX($C$1:C125)+1,"")</f>
        <v>106</v>
      </c>
      <c r="D126" s="43">
        <v>101507011</v>
      </c>
      <c r="E126" s="44" t="s">
        <v>433</v>
      </c>
      <c r="F126" s="45" t="s">
        <v>106</v>
      </c>
      <c r="G126" s="46">
        <v>42201</v>
      </c>
      <c r="H126" s="47" t="s">
        <v>24</v>
      </c>
      <c r="I126" s="48" t="s">
        <v>428</v>
      </c>
      <c r="J126" s="46"/>
      <c r="K126" s="49"/>
      <c r="L126" s="50"/>
      <c r="M126" s="50"/>
      <c r="N126" s="50"/>
      <c r="O126" s="51"/>
      <c r="P126" s="49"/>
      <c r="Q126" s="51"/>
      <c r="R126" s="52"/>
      <c r="S126" s="49"/>
      <c r="T126" s="53"/>
      <c r="U126" s="48"/>
      <c r="V126" s="54"/>
    </row>
    <row r="127" spans="3:22" s="41" customFormat="1" ht="20.25" customHeight="1">
      <c r="C127" s="42">
        <f>+IF(E127&lt;&gt;0,MAX($C$1:C126)+1,"")</f>
        <v>107</v>
      </c>
      <c r="D127" s="43">
        <v>101408025</v>
      </c>
      <c r="E127" s="44" t="s">
        <v>312</v>
      </c>
      <c r="F127" s="45" t="s">
        <v>432</v>
      </c>
      <c r="G127" s="46">
        <v>41878</v>
      </c>
      <c r="H127" s="47" t="s">
        <v>24</v>
      </c>
      <c r="I127" s="48" t="s">
        <v>428</v>
      </c>
      <c r="J127" s="46"/>
      <c r="K127" s="49"/>
      <c r="L127" s="50"/>
      <c r="M127" s="50"/>
      <c r="N127" s="50"/>
      <c r="O127" s="51"/>
      <c r="P127" s="49"/>
      <c r="Q127" s="51"/>
      <c r="R127" s="52"/>
      <c r="S127" s="49"/>
      <c r="T127" s="53"/>
      <c r="U127" s="48"/>
      <c r="V127" s="54"/>
    </row>
    <row r="128" spans="3:22" s="41" customFormat="1" ht="20.25" customHeight="1">
      <c r="C128" s="42">
        <f>+IF(E128&lt;&gt;0,MAX($C$1:C127)+1,"")</f>
        <v>108</v>
      </c>
      <c r="D128" s="43">
        <v>101606001</v>
      </c>
      <c r="E128" s="44" t="s">
        <v>434</v>
      </c>
      <c r="F128" s="45" t="s">
        <v>254</v>
      </c>
      <c r="G128" s="46">
        <v>42522</v>
      </c>
      <c r="H128" s="47" t="s">
        <v>24</v>
      </c>
      <c r="I128" s="48" t="s">
        <v>428</v>
      </c>
      <c r="J128" s="46"/>
      <c r="K128" s="49"/>
      <c r="L128" s="50"/>
      <c r="M128" s="50"/>
      <c r="N128" s="50"/>
      <c r="O128" s="51"/>
      <c r="P128" s="49"/>
      <c r="Q128" s="51"/>
      <c r="R128" s="52"/>
      <c r="S128" s="49"/>
      <c r="T128" s="53"/>
      <c r="U128" s="48"/>
      <c r="V128" s="54"/>
    </row>
    <row r="129" spans="2:25" s="41" customFormat="1" ht="20.25" customHeight="1">
      <c r="C129" s="42">
        <f>+IF(E129&lt;&gt;0,MAX($C$1:C128)+1,"")</f>
        <v>109</v>
      </c>
      <c r="D129" s="43">
        <v>101803049</v>
      </c>
      <c r="E129" s="44" t="s">
        <v>435</v>
      </c>
      <c r="F129" s="45" t="s">
        <v>20</v>
      </c>
      <c r="G129" s="46">
        <v>43171</v>
      </c>
      <c r="H129" s="47" t="s">
        <v>24</v>
      </c>
      <c r="I129" s="48" t="s">
        <v>428</v>
      </c>
      <c r="J129" s="46"/>
      <c r="K129" s="49"/>
      <c r="L129" s="50"/>
      <c r="M129" s="50"/>
      <c r="N129" s="50"/>
      <c r="O129" s="51"/>
      <c r="P129" s="49"/>
      <c r="Q129" s="51"/>
      <c r="R129" s="52"/>
      <c r="S129" s="49"/>
      <c r="T129" s="53"/>
      <c r="U129" s="48"/>
      <c r="V129" s="54"/>
    </row>
    <row r="130" spans="2:25" s="41" customFormat="1" ht="20.25" customHeight="1">
      <c r="C130" s="42">
        <f>+IF(E130&lt;&gt;0,MAX($C$1:C129)+1,"")</f>
        <v>110</v>
      </c>
      <c r="D130" s="43">
        <v>101909013</v>
      </c>
      <c r="E130" s="44" t="s">
        <v>438</v>
      </c>
      <c r="F130" s="45" t="s">
        <v>439</v>
      </c>
      <c r="G130" s="46">
        <v>43711</v>
      </c>
      <c r="H130" s="47" t="s">
        <v>24</v>
      </c>
      <c r="I130" s="48" t="s">
        <v>428</v>
      </c>
      <c r="J130" s="46"/>
      <c r="K130" s="49"/>
      <c r="L130" s="50"/>
      <c r="M130" s="50"/>
      <c r="N130" s="50"/>
      <c r="O130" s="51"/>
      <c r="P130" s="49"/>
      <c r="Q130" s="51"/>
      <c r="R130" s="52"/>
      <c r="S130" s="49"/>
      <c r="T130" s="53"/>
      <c r="U130" s="48"/>
      <c r="V130" s="54"/>
    </row>
    <row r="131" spans="2:25" s="41" customFormat="1" ht="20.25" customHeight="1">
      <c r="C131" s="42">
        <f>+IF(E131&lt;&gt;0,MAX($C$1:C130)+1,"")</f>
        <v>111</v>
      </c>
      <c r="D131" s="43">
        <v>201910002</v>
      </c>
      <c r="E131" s="44" t="s">
        <v>440</v>
      </c>
      <c r="F131" s="45" t="s">
        <v>250</v>
      </c>
      <c r="G131" s="46">
        <v>43739</v>
      </c>
      <c r="H131" s="47" t="s">
        <v>24</v>
      </c>
      <c r="I131" s="48" t="s">
        <v>428</v>
      </c>
      <c r="J131" s="46"/>
      <c r="K131" s="49"/>
      <c r="L131" s="50"/>
      <c r="M131" s="50"/>
      <c r="N131" s="50"/>
      <c r="O131" s="51"/>
      <c r="P131" s="49"/>
      <c r="Q131" s="51"/>
      <c r="R131" s="52"/>
      <c r="S131" s="49"/>
      <c r="T131" s="53"/>
      <c r="U131" s="48"/>
      <c r="V131" s="54"/>
    </row>
    <row r="132" spans="2:25" s="41" customFormat="1" ht="20.25" customHeight="1">
      <c r="C132" s="42">
        <f>+IF(E132&lt;&gt;0,MAX($C$1:C131)+1,"")</f>
        <v>112</v>
      </c>
      <c r="D132" s="43">
        <v>101908051</v>
      </c>
      <c r="E132" s="44" t="s">
        <v>436</v>
      </c>
      <c r="F132" s="45" t="s">
        <v>437</v>
      </c>
      <c r="G132" s="46">
        <v>43704</v>
      </c>
      <c r="H132" s="47" t="s">
        <v>24</v>
      </c>
      <c r="I132" s="48" t="s">
        <v>428</v>
      </c>
      <c r="J132" s="46"/>
      <c r="K132" s="49"/>
      <c r="L132" s="50"/>
      <c r="M132" s="50"/>
      <c r="N132" s="50"/>
      <c r="O132" s="51"/>
      <c r="P132" s="49"/>
      <c r="Q132" s="51"/>
      <c r="R132" s="52"/>
      <c r="S132" s="49"/>
      <c r="T132" s="53"/>
      <c r="U132" s="48"/>
      <c r="V132" s="54"/>
    </row>
    <row r="133" spans="2:25" s="41" customFormat="1" ht="20.25" customHeight="1">
      <c r="C133" s="42">
        <f>+IF(E133&lt;&gt;0,MAX($C$1:C132)+1,"")</f>
        <v>113</v>
      </c>
      <c r="D133" s="43">
        <v>670503001</v>
      </c>
      <c r="E133" s="44" t="s">
        <v>19</v>
      </c>
      <c r="F133" s="45" t="s">
        <v>441</v>
      </c>
      <c r="G133" s="46">
        <v>38412</v>
      </c>
      <c r="H133" s="47" t="s">
        <v>24</v>
      </c>
      <c r="I133" s="48" t="s">
        <v>428</v>
      </c>
      <c r="J133" s="46"/>
      <c r="K133" s="49"/>
      <c r="L133" s="50"/>
      <c r="M133" s="50"/>
      <c r="N133" s="50"/>
      <c r="O133" s="51"/>
      <c r="P133" s="49"/>
      <c r="Q133" s="51"/>
      <c r="R133" s="52"/>
      <c r="S133" s="49"/>
      <c r="T133" s="53"/>
      <c r="U133" s="48"/>
      <c r="V133" s="54"/>
    </row>
    <row r="134" spans="2:25" s="41" customFormat="1" ht="20.25" customHeight="1">
      <c r="C134" s="42">
        <f>+IF(E134&lt;&gt;0,MAX($C$1:C133)+1,"")</f>
        <v>114</v>
      </c>
      <c r="D134" s="43">
        <v>101910009</v>
      </c>
      <c r="E134" s="44" t="s">
        <v>226</v>
      </c>
      <c r="F134" s="45" t="s">
        <v>444</v>
      </c>
      <c r="G134" s="46">
        <v>43739</v>
      </c>
      <c r="H134" s="47" t="s">
        <v>24</v>
      </c>
      <c r="I134" s="48" t="s">
        <v>428</v>
      </c>
      <c r="J134" s="46"/>
      <c r="K134" s="49"/>
      <c r="L134" s="50"/>
      <c r="M134" s="50"/>
      <c r="N134" s="50"/>
      <c r="O134" s="51"/>
      <c r="P134" s="49"/>
      <c r="Q134" s="51"/>
      <c r="R134" s="52"/>
      <c r="S134" s="49"/>
      <c r="T134" s="53"/>
      <c r="U134" s="48"/>
      <c r="V134" s="54"/>
    </row>
    <row r="135" spans="2:25" s="41" customFormat="1" ht="20.25" customHeight="1">
      <c r="C135" s="42">
        <f>+IF(E135&lt;&gt;0,MAX($C$1:C134)+1,"")</f>
        <v>115</v>
      </c>
      <c r="D135" s="43">
        <v>200911001</v>
      </c>
      <c r="E135" s="44" t="s">
        <v>445</v>
      </c>
      <c r="F135" s="45" t="s">
        <v>427</v>
      </c>
      <c r="G135" s="46">
        <v>40119</v>
      </c>
      <c r="H135" s="47" t="s">
        <v>24</v>
      </c>
      <c r="I135" s="48" t="s">
        <v>428</v>
      </c>
      <c r="J135" s="46"/>
      <c r="K135" s="49"/>
      <c r="L135" s="50"/>
      <c r="M135" s="50"/>
      <c r="N135" s="50"/>
      <c r="O135" s="51"/>
      <c r="P135" s="49"/>
      <c r="Q135" s="51"/>
      <c r="R135" s="52"/>
      <c r="S135" s="49"/>
      <c r="T135" s="53"/>
      <c r="U135" s="48"/>
      <c r="V135" s="54"/>
    </row>
    <row r="136" spans="2:25" s="41" customFormat="1" ht="20.25" customHeight="1">
      <c r="C136" s="42">
        <f>+IF(E136&lt;&gt;0,MAX($C$1:C135)+1,"")</f>
        <v>116</v>
      </c>
      <c r="D136" s="43">
        <v>102404056</v>
      </c>
      <c r="E136" s="44" t="s">
        <v>447</v>
      </c>
      <c r="F136" s="45" t="s">
        <v>391</v>
      </c>
      <c r="G136" s="46">
        <v>45398</v>
      </c>
      <c r="H136" s="47" t="s">
        <v>24</v>
      </c>
      <c r="I136" s="48" t="s">
        <v>428</v>
      </c>
      <c r="J136" s="46"/>
      <c r="K136" s="49"/>
      <c r="L136" s="50"/>
      <c r="M136" s="50"/>
      <c r="N136" s="50"/>
      <c r="O136" s="51"/>
      <c r="P136" s="49"/>
      <c r="Q136" s="51"/>
      <c r="R136" s="52"/>
      <c r="S136" s="49"/>
      <c r="T136" s="53"/>
      <c r="U136" s="48"/>
      <c r="V136" s="54"/>
    </row>
    <row r="137" spans="2:25" s="41" customFormat="1" ht="20.25" customHeight="1">
      <c r="C137" s="42">
        <f>+IF(E137&lt;&gt;0,MAX($C$1:C136)+1,"")</f>
        <v>117</v>
      </c>
      <c r="D137" s="43">
        <v>102404025</v>
      </c>
      <c r="E137" s="44" t="s">
        <v>446</v>
      </c>
      <c r="F137" s="45" t="s">
        <v>42</v>
      </c>
      <c r="G137" s="46">
        <v>45392</v>
      </c>
      <c r="H137" s="47" t="s">
        <v>24</v>
      </c>
      <c r="I137" s="48" t="s">
        <v>428</v>
      </c>
      <c r="J137" s="46"/>
      <c r="K137" s="49"/>
      <c r="L137" s="50"/>
      <c r="M137" s="50"/>
      <c r="N137" s="50"/>
      <c r="O137" s="51"/>
      <c r="P137" s="49"/>
      <c r="Q137" s="51"/>
      <c r="R137" s="52"/>
      <c r="S137" s="49"/>
      <c r="T137" s="53"/>
      <c r="U137" s="48"/>
      <c r="V137" s="54"/>
    </row>
    <row r="138" spans="2:25" s="41" customFormat="1" ht="20.25" customHeight="1">
      <c r="C138" s="42">
        <f>+IF(E138&lt;&gt;0,MAX($C$1:C137)+1,"")</f>
        <v>118</v>
      </c>
      <c r="D138" s="43">
        <v>101006003</v>
      </c>
      <c r="E138" s="44" t="s">
        <v>327</v>
      </c>
      <c r="F138" s="45" t="s">
        <v>81</v>
      </c>
      <c r="G138" s="46">
        <v>40344</v>
      </c>
      <c r="H138" s="47" t="s">
        <v>24</v>
      </c>
      <c r="I138" s="48" t="s">
        <v>428</v>
      </c>
      <c r="J138" s="46"/>
      <c r="K138" s="49"/>
      <c r="L138" s="50"/>
      <c r="M138" s="50"/>
      <c r="N138" s="50"/>
      <c r="O138" s="51"/>
      <c r="P138" s="49"/>
      <c r="Q138" s="51"/>
      <c r="R138" s="52"/>
      <c r="S138" s="49"/>
      <c r="T138" s="53"/>
      <c r="U138" s="48"/>
      <c r="V138" s="54"/>
    </row>
    <row r="139" spans="2:25" s="41" customFormat="1" ht="20.25" customHeight="1">
      <c r="B139" s="1"/>
      <c r="C139" s="242" t="s">
        <v>678</v>
      </c>
      <c r="D139" s="243"/>
      <c r="E139" s="244"/>
      <c r="F139" s="245"/>
      <c r="G139" s="246"/>
      <c r="H139" s="244"/>
      <c r="I139" s="245"/>
      <c r="J139" s="246"/>
      <c r="K139" s="32"/>
      <c r="L139" s="246"/>
      <c r="M139" s="243"/>
      <c r="N139" s="243"/>
      <c r="O139" s="246"/>
      <c r="P139" s="32"/>
      <c r="Q139" s="246"/>
      <c r="R139" s="247"/>
      <c r="S139" s="32"/>
      <c r="T139" s="248"/>
      <c r="U139" s="245"/>
      <c r="V139" s="54"/>
      <c r="W139" s="1"/>
      <c r="X139" s="1"/>
      <c r="Y139" s="1"/>
    </row>
    <row r="140" spans="2:25" s="41" customFormat="1" ht="20.25" customHeight="1">
      <c r="C140" s="42">
        <f>+IF(E140&lt;&gt;0,MAX($C$1:C138)+1,"")</f>
        <v>119</v>
      </c>
      <c r="D140" s="43">
        <v>101703030</v>
      </c>
      <c r="E140" s="44" t="s">
        <v>346</v>
      </c>
      <c r="F140" s="45" t="s">
        <v>347</v>
      </c>
      <c r="G140" s="46">
        <v>42814</v>
      </c>
      <c r="H140" s="47" t="s">
        <v>52</v>
      </c>
      <c r="I140" s="48" t="s">
        <v>653</v>
      </c>
      <c r="J140" s="46"/>
      <c r="K140" s="49"/>
      <c r="L140" s="50"/>
      <c r="M140" s="50"/>
      <c r="N140" s="50"/>
      <c r="O140" s="51"/>
      <c r="P140" s="49"/>
      <c r="Q140" s="51"/>
      <c r="R140" s="52"/>
      <c r="S140" s="49"/>
      <c r="T140" s="53"/>
      <c r="U140" s="48"/>
      <c r="V140" s="54"/>
    </row>
    <row r="141" spans="2:25" s="41" customFormat="1" ht="20.25" customHeight="1">
      <c r="C141" s="42">
        <f>+IF(E141&lt;&gt;0,MAX($C$1:C140)+1,"")</f>
        <v>120</v>
      </c>
      <c r="D141" s="43">
        <v>301407001</v>
      </c>
      <c r="E141" s="44" t="s">
        <v>348</v>
      </c>
      <c r="F141" s="45" t="s">
        <v>81</v>
      </c>
      <c r="G141" s="46">
        <v>41821</v>
      </c>
      <c r="H141" s="47" t="s">
        <v>571</v>
      </c>
      <c r="I141" s="48" t="s">
        <v>629</v>
      </c>
      <c r="J141" s="46"/>
      <c r="K141" s="49"/>
      <c r="L141" s="50"/>
      <c r="M141" s="50"/>
      <c r="N141" s="50"/>
      <c r="O141" s="51"/>
      <c r="P141" s="49"/>
      <c r="Q141" s="51"/>
      <c r="R141" s="52"/>
      <c r="S141" s="49"/>
      <c r="T141" s="53"/>
      <c r="U141" s="48"/>
      <c r="V141" s="54"/>
    </row>
    <row r="142" spans="2:25" s="41" customFormat="1" ht="20.25" customHeight="1">
      <c r="C142" s="42">
        <f>+IF(E142&lt;&gt;0,MAX($C$1:C141)+1,"")</f>
        <v>121</v>
      </c>
      <c r="D142" s="43">
        <v>101705018</v>
      </c>
      <c r="E142" s="44" t="s">
        <v>350</v>
      </c>
      <c r="F142" s="45" t="s">
        <v>351</v>
      </c>
      <c r="G142" s="46">
        <v>42870</v>
      </c>
      <c r="H142" s="47" t="s">
        <v>24</v>
      </c>
      <c r="I142" s="48" t="s">
        <v>349</v>
      </c>
      <c r="J142" s="46"/>
      <c r="K142" s="49"/>
      <c r="L142" s="50"/>
      <c r="M142" s="50"/>
      <c r="N142" s="50"/>
      <c r="O142" s="51"/>
      <c r="P142" s="49"/>
      <c r="Q142" s="51"/>
      <c r="R142" s="52"/>
      <c r="S142" s="49"/>
      <c r="T142" s="53"/>
      <c r="U142" s="48"/>
      <c r="V142" s="54"/>
    </row>
    <row r="143" spans="2:25" s="41" customFormat="1" ht="20.25" customHeight="1">
      <c r="C143" s="42">
        <f>+IF(E143&lt;&gt;0,MAX($C$1:C142)+1,"")</f>
        <v>122</v>
      </c>
      <c r="D143" s="43">
        <v>101208006</v>
      </c>
      <c r="E143" s="44" t="s">
        <v>352</v>
      </c>
      <c r="F143" s="45" t="s">
        <v>353</v>
      </c>
      <c r="G143" s="46">
        <v>41134</v>
      </c>
      <c r="H143" s="47" t="s">
        <v>24</v>
      </c>
      <c r="I143" s="48" t="s">
        <v>349</v>
      </c>
      <c r="J143" s="46"/>
      <c r="K143" s="49"/>
      <c r="L143" s="50"/>
      <c r="M143" s="50"/>
      <c r="N143" s="50"/>
      <c r="O143" s="51"/>
      <c r="P143" s="49"/>
      <c r="Q143" s="51"/>
      <c r="R143" s="52"/>
      <c r="S143" s="49"/>
      <c r="T143" s="53"/>
      <c r="U143" s="48"/>
      <c r="V143" s="54"/>
    </row>
    <row r="144" spans="2:25" s="41" customFormat="1" ht="20.25" customHeight="1">
      <c r="C144" s="42">
        <f>+IF(E144&lt;&gt;0,MAX($C$1:C143)+1,"")</f>
        <v>123</v>
      </c>
      <c r="D144" s="43">
        <v>201504007</v>
      </c>
      <c r="E144" s="44" t="s">
        <v>342</v>
      </c>
      <c r="F144" s="45" t="s">
        <v>57</v>
      </c>
      <c r="G144" s="46">
        <v>42107</v>
      </c>
      <c r="H144" s="47" t="s">
        <v>24</v>
      </c>
      <c r="I144" s="48" t="s">
        <v>349</v>
      </c>
      <c r="J144" s="46"/>
      <c r="K144" s="49"/>
      <c r="L144" s="50"/>
      <c r="M144" s="50"/>
      <c r="N144" s="50"/>
      <c r="O144" s="51"/>
      <c r="P144" s="49"/>
      <c r="Q144" s="51"/>
      <c r="R144" s="52"/>
      <c r="S144" s="49"/>
      <c r="T144" s="53"/>
      <c r="U144" s="48"/>
      <c r="V144" s="54"/>
    </row>
    <row r="145" spans="3:22" s="41" customFormat="1" ht="20.25" customHeight="1">
      <c r="C145" s="42">
        <f>+IF(E145&lt;&gt;0,MAX($C$1:C144)+1,"")</f>
        <v>124</v>
      </c>
      <c r="D145" s="43">
        <v>301507015</v>
      </c>
      <c r="E145" s="44" t="s">
        <v>354</v>
      </c>
      <c r="F145" s="45" t="s">
        <v>183</v>
      </c>
      <c r="G145" s="46">
        <v>42198</v>
      </c>
      <c r="H145" s="47" t="s">
        <v>24</v>
      </c>
      <c r="I145" s="48" t="s">
        <v>349</v>
      </c>
      <c r="J145" s="46"/>
      <c r="K145" s="49"/>
      <c r="L145" s="50"/>
      <c r="M145" s="50"/>
      <c r="N145" s="50"/>
      <c r="O145" s="51"/>
      <c r="P145" s="49"/>
      <c r="Q145" s="51"/>
      <c r="R145" s="52"/>
      <c r="S145" s="49"/>
      <c r="T145" s="53"/>
      <c r="U145" s="48"/>
      <c r="V145" s="54"/>
    </row>
    <row r="146" spans="3:22" s="41" customFormat="1" ht="20.25" customHeight="1">
      <c r="C146" s="42">
        <f>+IF(E146&lt;&gt;0,MAX($C$1:C145)+1,"")</f>
        <v>125</v>
      </c>
      <c r="D146" s="43">
        <v>210602002</v>
      </c>
      <c r="E146" s="44" t="s">
        <v>69</v>
      </c>
      <c r="F146" s="45" t="s">
        <v>261</v>
      </c>
      <c r="G146" s="46">
        <v>38772</v>
      </c>
      <c r="H146" s="47" t="s">
        <v>31</v>
      </c>
      <c r="I146" s="48" t="s">
        <v>349</v>
      </c>
      <c r="J146" s="46"/>
      <c r="K146" s="49"/>
      <c r="L146" s="50"/>
      <c r="M146" s="50"/>
      <c r="N146" s="50"/>
      <c r="O146" s="51"/>
      <c r="P146" s="49"/>
      <c r="Q146" s="51"/>
      <c r="R146" s="52"/>
      <c r="S146" s="49"/>
      <c r="T146" s="53"/>
      <c r="U146" s="48"/>
      <c r="V146" s="54"/>
    </row>
    <row r="147" spans="3:22" s="41" customFormat="1" ht="20.25" customHeight="1">
      <c r="C147" s="42">
        <f>+IF(E147&lt;&gt;0,MAX($C$1:C146)+1,"")</f>
        <v>126</v>
      </c>
      <c r="D147" s="43">
        <v>212103096</v>
      </c>
      <c r="E147" s="44" t="s">
        <v>348</v>
      </c>
      <c r="F147" s="45" t="s">
        <v>355</v>
      </c>
      <c r="G147" s="46">
        <v>44263</v>
      </c>
      <c r="H147" s="47" t="s">
        <v>24</v>
      </c>
      <c r="I147" s="48" t="s">
        <v>349</v>
      </c>
      <c r="J147" s="46"/>
      <c r="K147" s="49"/>
      <c r="L147" s="50"/>
      <c r="M147" s="50"/>
      <c r="N147" s="50"/>
      <c r="O147" s="51"/>
      <c r="P147" s="49"/>
      <c r="Q147" s="51"/>
      <c r="R147" s="52"/>
      <c r="S147" s="49"/>
      <c r="T147" s="53"/>
      <c r="U147" s="48"/>
      <c r="V147" s="54"/>
    </row>
    <row r="148" spans="3:22" s="41" customFormat="1" ht="20.25" customHeight="1">
      <c r="C148" s="42">
        <f>+IF(E148&lt;&gt;0,MAX($C$1:C147)+1,"")</f>
        <v>127</v>
      </c>
      <c r="D148" s="43">
        <v>201506009</v>
      </c>
      <c r="E148" s="44" t="s">
        <v>356</v>
      </c>
      <c r="F148" s="45" t="s">
        <v>247</v>
      </c>
      <c r="G148" s="46">
        <v>42163</v>
      </c>
      <c r="H148" s="47" t="s">
        <v>24</v>
      </c>
      <c r="I148" s="48" t="s">
        <v>349</v>
      </c>
      <c r="J148" s="46"/>
      <c r="K148" s="49"/>
      <c r="L148" s="50"/>
      <c r="M148" s="50"/>
      <c r="N148" s="50"/>
      <c r="O148" s="51"/>
      <c r="P148" s="49"/>
      <c r="Q148" s="51"/>
      <c r="R148" s="52"/>
      <c r="S148" s="49"/>
      <c r="T148" s="53"/>
      <c r="U148" s="48"/>
      <c r="V148" s="54"/>
    </row>
    <row r="149" spans="3:22" s="41" customFormat="1" ht="20.25" customHeight="1">
      <c r="C149" s="42">
        <f>+IF(E149&lt;&gt;0,MAX($C$1:C148)+1,"")</f>
        <v>128</v>
      </c>
      <c r="D149" s="43">
        <v>201507009</v>
      </c>
      <c r="E149" s="44" t="s">
        <v>357</v>
      </c>
      <c r="F149" s="45" t="s">
        <v>358</v>
      </c>
      <c r="G149" s="46">
        <v>42205</v>
      </c>
      <c r="H149" s="47" t="s">
        <v>24</v>
      </c>
      <c r="I149" s="48" t="s">
        <v>349</v>
      </c>
      <c r="J149" s="46"/>
      <c r="K149" s="49"/>
      <c r="L149" s="50"/>
      <c r="M149" s="50"/>
      <c r="N149" s="50"/>
      <c r="O149" s="51"/>
      <c r="P149" s="49"/>
      <c r="Q149" s="51"/>
      <c r="R149" s="52"/>
      <c r="S149" s="49"/>
      <c r="T149" s="53"/>
      <c r="U149" s="48"/>
      <c r="V149" s="54"/>
    </row>
    <row r="150" spans="3:22" s="41" customFormat="1" ht="20.25" customHeight="1">
      <c r="C150" s="42">
        <f>+IF(E150&lt;&gt;0,MAX($C$1:C149)+1,"")</f>
        <v>129</v>
      </c>
      <c r="D150" s="43">
        <v>201507015</v>
      </c>
      <c r="E150" s="44" t="s">
        <v>190</v>
      </c>
      <c r="F150" s="45" t="s">
        <v>163</v>
      </c>
      <c r="G150" s="46">
        <v>42205</v>
      </c>
      <c r="H150" s="47" t="s">
        <v>24</v>
      </c>
      <c r="I150" s="48" t="s">
        <v>349</v>
      </c>
      <c r="J150" s="46"/>
      <c r="K150" s="49"/>
      <c r="L150" s="50"/>
      <c r="M150" s="50"/>
      <c r="N150" s="50"/>
      <c r="O150" s="51"/>
      <c r="P150" s="49"/>
      <c r="Q150" s="51"/>
      <c r="R150" s="52"/>
      <c r="S150" s="49"/>
      <c r="T150" s="53"/>
      <c r="U150" s="48"/>
      <c r="V150" s="54"/>
    </row>
    <row r="151" spans="3:22" s="41" customFormat="1" ht="20.25" customHeight="1">
      <c r="C151" s="42">
        <f>+IF(E151&lt;&gt;0,MAX($C$1:C150)+1,"")</f>
        <v>130</v>
      </c>
      <c r="D151" s="43">
        <v>201607010</v>
      </c>
      <c r="E151" s="44" t="s">
        <v>84</v>
      </c>
      <c r="F151" s="45" t="s">
        <v>359</v>
      </c>
      <c r="G151" s="46">
        <v>42576</v>
      </c>
      <c r="H151" s="47" t="s">
        <v>24</v>
      </c>
      <c r="I151" s="48" t="s">
        <v>349</v>
      </c>
      <c r="J151" s="46"/>
      <c r="K151" s="49"/>
      <c r="L151" s="50"/>
      <c r="M151" s="50"/>
      <c r="N151" s="50"/>
      <c r="O151" s="51"/>
      <c r="P151" s="49"/>
      <c r="Q151" s="51"/>
      <c r="R151" s="52"/>
      <c r="S151" s="49"/>
      <c r="T151" s="53"/>
      <c r="U151" s="48"/>
      <c r="V151" s="54"/>
    </row>
    <row r="152" spans="3:22" s="41" customFormat="1" ht="20.25" customHeight="1">
      <c r="C152" s="42">
        <f>+IF(E152&lt;&gt;0,MAX($C$1:C151)+1,"")</f>
        <v>131</v>
      </c>
      <c r="D152" s="43">
        <v>511502001</v>
      </c>
      <c r="E152" s="44" t="s">
        <v>360</v>
      </c>
      <c r="F152" s="45" t="s">
        <v>361</v>
      </c>
      <c r="G152" s="46">
        <v>42042</v>
      </c>
      <c r="H152" s="47" t="s">
        <v>31</v>
      </c>
      <c r="I152" s="48" t="s">
        <v>349</v>
      </c>
      <c r="J152" s="46"/>
      <c r="K152" s="49"/>
      <c r="L152" s="50"/>
      <c r="M152" s="50"/>
      <c r="N152" s="50"/>
      <c r="O152" s="51"/>
      <c r="P152" s="49"/>
      <c r="Q152" s="51"/>
      <c r="R152" s="52"/>
      <c r="S152" s="49"/>
      <c r="T152" s="53"/>
      <c r="U152" s="48"/>
      <c r="V152" s="54"/>
    </row>
    <row r="153" spans="3:22" s="41" customFormat="1" ht="20.25" customHeight="1">
      <c r="C153" s="42">
        <f>+IF(E153&lt;&gt;0,MAX($C$1:C152)+1,"")</f>
        <v>132</v>
      </c>
      <c r="D153" s="43">
        <v>501408071</v>
      </c>
      <c r="E153" s="44" t="s">
        <v>69</v>
      </c>
      <c r="F153" s="45" t="s">
        <v>58</v>
      </c>
      <c r="G153" s="46">
        <v>41857</v>
      </c>
      <c r="H153" s="47" t="s">
        <v>24</v>
      </c>
      <c r="I153" s="48" t="s">
        <v>349</v>
      </c>
      <c r="J153" s="46"/>
      <c r="K153" s="49"/>
      <c r="L153" s="50"/>
      <c r="M153" s="50"/>
      <c r="N153" s="50"/>
      <c r="O153" s="51"/>
      <c r="P153" s="49"/>
      <c r="Q153" s="51"/>
      <c r="R153" s="52"/>
      <c r="S153" s="49"/>
      <c r="T153" s="53"/>
      <c r="U153" s="48"/>
      <c r="V153" s="54"/>
    </row>
    <row r="154" spans="3:22" s="41" customFormat="1" ht="20.25" customHeight="1">
      <c r="C154" s="42">
        <f>+IF(E154&lt;&gt;0,MAX($C$1:C153)+1,"")</f>
        <v>133</v>
      </c>
      <c r="D154" s="43">
        <v>301604029</v>
      </c>
      <c r="E154" s="44" t="s">
        <v>236</v>
      </c>
      <c r="F154" s="45" t="s">
        <v>110</v>
      </c>
      <c r="G154" s="46">
        <v>42471</v>
      </c>
      <c r="H154" s="47" t="s">
        <v>24</v>
      </c>
      <c r="I154" s="48" t="s">
        <v>349</v>
      </c>
      <c r="J154" s="46"/>
      <c r="K154" s="49"/>
      <c r="L154" s="50"/>
      <c r="M154" s="50"/>
      <c r="N154" s="50"/>
      <c r="O154" s="51"/>
      <c r="P154" s="49"/>
      <c r="Q154" s="51"/>
      <c r="R154" s="52"/>
      <c r="S154" s="49"/>
      <c r="T154" s="53"/>
      <c r="U154" s="48"/>
      <c r="V154" s="54"/>
    </row>
    <row r="155" spans="3:22" s="41" customFormat="1" ht="20.25" customHeight="1">
      <c r="C155" s="42">
        <f>+IF(E155&lt;&gt;0,MAX($C$1:C154)+1,"")</f>
        <v>134</v>
      </c>
      <c r="D155" s="43">
        <v>552011252</v>
      </c>
      <c r="E155" s="44" t="s">
        <v>362</v>
      </c>
      <c r="F155" s="45" t="s">
        <v>363</v>
      </c>
      <c r="G155" s="46">
        <v>44152</v>
      </c>
      <c r="H155" s="47" t="s">
        <v>24</v>
      </c>
      <c r="I155" s="48" t="s">
        <v>349</v>
      </c>
      <c r="J155" s="46"/>
      <c r="K155" s="49"/>
      <c r="L155" s="50"/>
      <c r="M155" s="50"/>
      <c r="N155" s="50"/>
      <c r="O155" s="51"/>
      <c r="P155" s="49"/>
      <c r="Q155" s="51"/>
      <c r="R155" s="52"/>
      <c r="S155" s="49"/>
      <c r="T155" s="53"/>
      <c r="U155" s="48"/>
      <c r="V155" s="54"/>
    </row>
    <row r="156" spans="3:22" s="41" customFormat="1" ht="20.25" customHeight="1">
      <c r="C156" s="42">
        <f>+IF(E156&lt;&gt;0,MAX($C$1:C155)+1,"")</f>
        <v>135</v>
      </c>
      <c r="D156" s="43">
        <v>102007001</v>
      </c>
      <c r="E156" s="44" t="s">
        <v>364</v>
      </c>
      <c r="F156" s="45" t="s">
        <v>365</v>
      </c>
      <c r="G156" s="46">
        <v>44013</v>
      </c>
      <c r="H156" s="47" t="s">
        <v>24</v>
      </c>
      <c r="I156" s="48" t="s">
        <v>349</v>
      </c>
      <c r="J156" s="46"/>
      <c r="K156" s="49"/>
      <c r="L156" s="50"/>
      <c r="M156" s="50"/>
      <c r="N156" s="50"/>
      <c r="O156" s="51"/>
      <c r="P156" s="49"/>
      <c r="Q156" s="51"/>
      <c r="R156" s="52"/>
      <c r="S156" s="49"/>
      <c r="T156" s="53"/>
      <c r="U156" s="48"/>
      <c r="V156" s="54"/>
    </row>
    <row r="157" spans="3:22" s="41" customFormat="1" ht="20.25" customHeight="1">
      <c r="C157" s="42">
        <f>+IF(E157&lt;&gt;0,MAX($C$1:C156)+1,"")</f>
        <v>136</v>
      </c>
      <c r="D157" s="43">
        <v>121509023</v>
      </c>
      <c r="E157" s="44" t="s">
        <v>366</v>
      </c>
      <c r="F157" s="45" t="s">
        <v>367</v>
      </c>
      <c r="G157" s="46">
        <v>42255</v>
      </c>
      <c r="H157" s="47" t="s">
        <v>24</v>
      </c>
      <c r="I157" s="48" t="s">
        <v>349</v>
      </c>
      <c r="J157" s="46"/>
      <c r="K157" s="49"/>
      <c r="L157" s="50"/>
      <c r="M157" s="50"/>
      <c r="N157" s="50"/>
      <c r="O157" s="51"/>
      <c r="P157" s="49"/>
      <c r="Q157" s="51"/>
      <c r="R157" s="52"/>
      <c r="S157" s="49"/>
      <c r="T157" s="53"/>
      <c r="U157" s="48"/>
      <c r="V157" s="54"/>
    </row>
    <row r="158" spans="3:22" s="41" customFormat="1" ht="20.25" customHeight="1">
      <c r="C158" s="42">
        <f>+IF(E158&lt;&gt;0,MAX($C$1:C157)+1,"")</f>
        <v>137</v>
      </c>
      <c r="D158" s="43">
        <v>401703055</v>
      </c>
      <c r="E158" s="44" t="s">
        <v>368</v>
      </c>
      <c r="F158" s="45" t="s">
        <v>63</v>
      </c>
      <c r="G158" s="46">
        <v>42798</v>
      </c>
      <c r="H158" s="47" t="s">
        <v>24</v>
      </c>
      <c r="I158" s="48" t="s">
        <v>349</v>
      </c>
      <c r="J158" s="46"/>
      <c r="K158" s="49"/>
      <c r="L158" s="50"/>
      <c r="M158" s="50"/>
      <c r="N158" s="50"/>
      <c r="O158" s="51"/>
      <c r="P158" s="49"/>
      <c r="Q158" s="51"/>
      <c r="R158" s="52"/>
      <c r="S158" s="49"/>
      <c r="T158" s="53"/>
      <c r="U158" s="48"/>
      <c r="V158" s="54"/>
    </row>
    <row r="159" spans="3:22" s="41" customFormat="1" ht="20.25" customHeight="1">
      <c r="C159" s="42">
        <f>+IF(E159&lt;&gt;0,MAX($C$1:C158)+1,"")</f>
        <v>138</v>
      </c>
      <c r="D159" s="43">
        <v>401704148</v>
      </c>
      <c r="E159" s="44" t="s">
        <v>369</v>
      </c>
      <c r="F159" s="45" t="s">
        <v>77</v>
      </c>
      <c r="G159" s="46">
        <v>42838</v>
      </c>
      <c r="H159" s="47" t="s">
        <v>24</v>
      </c>
      <c r="I159" s="48" t="s">
        <v>349</v>
      </c>
      <c r="J159" s="46"/>
      <c r="K159" s="49"/>
      <c r="L159" s="50"/>
      <c r="M159" s="50"/>
      <c r="N159" s="50"/>
      <c r="O159" s="51"/>
      <c r="P159" s="49"/>
      <c r="Q159" s="51"/>
      <c r="R159" s="52"/>
      <c r="S159" s="49"/>
      <c r="T159" s="53"/>
      <c r="U159" s="48"/>
      <c r="V159" s="54"/>
    </row>
    <row r="160" spans="3:22" s="41" customFormat="1" ht="20.25" customHeight="1">
      <c r="C160" s="42">
        <f>+IF(E160&lt;&gt;0,MAX($C$1:C159)+1,"")</f>
        <v>139</v>
      </c>
      <c r="D160" s="43">
        <v>401909190</v>
      </c>
      <c r="E160" s="44" t="s">
        <v>370</v>
      </c>
      <c r="F160" s="45" t="s">
        <v>63</v>
      </c>
      <c r="G160" s="46">
        <v>43718</v>
      </c>
      <c r="H160" s="47" t="s">
        <v>24</v>
      </c>
      <c r="I160" s="48" t="s">
        <v>349</v>
      </c>
      <c r="J160" s="46"/>
      <c r="K160" s="49"/>
      <c r="L160" s="50"/>
      <c r="M160" s="50"/>
      <c r="N160" s="50"/>
      <c r="O160" s="51"/>
      <c r="P160" s="49"/>
      <c r="Q160" s="51"/>
      <c r="R160" s="52"/>
      <c r="S160" s="49"/>
      <c r="T160" s="53"/>
      <c r="U160" s="48"/>
      <c r="V160" s="54"/>
    </row>
    <row r="161" spans="3:22" s="41" customFormat="1" ht="20.25" customHeight="1">
      <c r="C161" s="42">
        <f>+IF(E161&lt;&gt;0,MAX($C$1:C160)+1,"")</f>
        <v>140</v>
      </c>
      <c r="D161" s="43">
        <v>712101239</v>
      </c>
      <c r="E161" s="44" t="s">
        <v>371</v>
      </c>
      <c r="F161" s="45" t="s">
        <v>51</v>
      </c>
      <c r="G161" s="46">
        <v>44208</v>
      </c>
      <c r="H161" s="47" t="s">
        <v>31</v>
      </c>
      <c r="I161" s="48" t="s">
        <v>349</v>
      </c>
      <c r="J161" s="46"/>
      <c r="K161" s="49"/>
      <c r="L161" s="50"/>
      <c r="M161" s="50"/>
      <c r="N161" s="50"/>
      <c r="O161" s="51"/>
      <c r="P161" s="49"/>
      <c r="Q161" s="51"/>
      <c r="R161" s="52"/>
      <c r="S161" s="49"/>
      <c r="T161" s="53"/>
      <c r="U161" s="48"/>
      <c r="V161" s="54"/>
    </row>
    <row r="162" spans="3:22" s="41" customFormat="1" ht="20.25" customHeight="1">
      <c r="C162" s="42">
        <f>+IF(E162&lt;&gt;0,MAX($C$1:C161)+1,"")</f>
        <v>141</v>
      </c>
      <c r="D162" s="43">
        <v>712101243</v>
      </c>
      <c r="E162" s="44" t="s">
        <v>372</v>
      </c>
      <c r="F162" s="45" t="s">
        <v>373</v>
      </c>
      <c r="G162" s="46">
        <v>44209</v>
      </c>
      <c r="H162" s="47" t="s">
        <v>24</v>
      </c>
      <c r="I162" s="48" t="s">
        <v>349</v>
      </c>
      <c r="J162" s="46"/>
      <c r="K162" s="49"/>
      <c r="L162" s="50"/>
      <c r="M162" s="50"/>
      <c r="N162" s="50"/>
      <c r="O162" s="51"/>
      <c r="P162" s="49"/>
      <c r="Q162" s="51"/>
      <c r="R162" s="52"/>
      <c r="S162" s="49"/>
      <c r="T162" s="53"/>
      <c r="U162" s="48"/>
      <c r="V162" s="54"/>
    </row>
    <row r="163" spans="3:22" s="41" customFormat="1" ht="20.25" customHeight="1">
      <c r="C163" s="42">
        <f>+IF(E163&lt;&gt;0,MAX($C$1:C162)+1,"")</f>
        <v>142</v>
      </c>
      <c r="D163" s="43">
        <v>722107028</v>
      </c>
      <c r="E163" s="44" t="s">
        <v>374</v>
      </c>
      <c r="F163" s="45" t="s">
        <v>375</v>
      </c>
      <c r="G163" s="46">
        <v>44378</v>
      </c>
      <c r="H163" s="47" t="s">
        <v>24</v>
      </c>
      <c r="I163" s="48" t="s">
        <v>349</v>
      </c>
      <c r="J163" s="46"/>
      <c r="K163" s="49"/>
      <c r="L163" s="50"/>
      <c r="M163" s="50"/>
      <c r="N163" s="50"/>
      <c r="O163" s="51"/>
      <c r="P163" s="49"/>
      <c r="Q163" s="51"/>
      <c r="R163" s="52"/>
      <c r="S163" s="49"/>
      <c r="T163" s="53"/>
      <c r="U163" s="48"/>
      <c r="V163" s="54"/>
    </row>
    <row r="164" spans="3:22" s="41" customFormat="1" ht="20.25" customHeight="1">
      <c r="C164" s="42">
        <f>+IF(E164&lt;&gt;0,MAX($C$1:C163)+1,"")</f>
        <v>143</v>
      </c>
      <c r="D164" s="43">
        <v>722107212</v>
      </c>
      <c r="E164" s="44" t="s">
        <v>327</v>
      </c>
      <c r="F164" s="45" t="s">
        <v>376</v>
      </c>
      <c r="G164" s="46">
        <v>44385</v>
      </c>
      <c r="H164" s="47" t="s">
        <v>24</v>
      </c>
      <c r="I164" s="48" t="s">
        <v>349</v>
      </c>
      <c r="J164" s="46"/>
      <c r="K164" s="49"/>
      <c r="L164" s="50"/>
      <c r="M164" s="50"/>
      <c r="N164" s="50"/>
      <c r="O164" s="51"/>
      <c r="P164" s="49"/>
      <c r="Q164" s="51"/>
      <c r="R164" s="52"/>
      <c r="S164" s="49"/>
      <c r="T164" s="53"/>
      <c r="U164" s="48"/>
      <c r="V164" s="54"/>
    </row>
    <row r="165" spans="3:22" s="41" customFormat="1" ht="20.25" customHeight="1">
      <c r="C165" s="42">
        <f>+IF(E165&lt;&gt;0,MAX($C$1:C164)+1,"")</f>
        <v>144</v>
      </c>
      <c r="D165" s="43">
        <v>732303117</v>
      </c>
      <c r="E165" s="44" t="s">
        <v>377</v>
      </c>
      <c r="F165" s="45" t="s">
        <v>378</v>
      </c>
      <c r="G165" s="46">
        <v>44988</v>
      </c>
      <c r="H165" s="47" t="s">
        <v>24</v>
      </c>
      <c r="I165" s="48" t="s">
        <v>349</v>
      </c>
      <c r="J165" s="46"/>
      <c r="K165" s="49"/>
      <c r="L165" s="50"/>
      <c r="M165" s="50"/>
      <c r="N165" s="50"/>
      <c r="O165" s="51"/>
      <c r="P165" s="49"/>
      <c r="Q165" s="51"/>
      <c r="R165" s="52"/>
      <c r="S165" s="49"/>
      <c r="T165" s="53"/>
      <c r="U165" s="48"/>
      <c r="V165" s="54"/>
    </row>
    <row r="166" spans="3:22" s="41" customFormat="1" ht="20.25" customHeight="1">
      <c r="C166" s="42">
        <f>+IF(E166&lt;&gt;0,MAX($C$1:C165)+1,"")</f>
        <v>145</v>
      </c>
      <c r="D166" s="43">
        <v>221808023</v>
      </c>
      <c r="E166" s="44" t="s">
        <v>379</v>
      </c>
      <c r="F166" s="45" t="s">
        <v>181</v>
      </c>
      <c r="G166" s="46">
        <v>43314</v>
      </c>
      <c r="H166" s="47" t="s">
        <v>24</v>
      </c>
      <c r="I166" s="48" t="s">
        <v>349</v>
      </c>
      <c r="J166" s="46"/>
      <c r="K166" s="49"/>
      <c r="L166" s="50"/>
      <c r="M166" s="50"/>
      <c r="N166" s="50"/>
      <c r="O166" s="51"/>
      <c r="P166" s="49"/>
      <c r="Q166" s="51"/>
      <c r="R166" s="52"/>
      <c r="S166" s="49"/>
      <c r="T166" s="53"/>
      <c r="U166" s="48"/>
      <c r="V166" s="54"/>
    </row>
    <row r="167" spans="3:22" s="41" customFormat="1" ht="20.25" customHeight="1">
      <c r="C167" s="42">
        <f>+IF(E167&lt;&gt;0,MAX($C$1:C166)+1,"")</f>
        <v>146</v>
      </c>
      <c r="D167" s="43">
        <v>301204010</v>
      </c>
      <c r="E167" s="44" t="s">
        <v>380</v>
      </c>
      <c r="F167" s="45" t="s">
        <v>46</v>
      </c>
      <c r="G167" s="46">
        <v>41019</v>
      </c>
      <c r="H167" s="47" t="s">
        <v>61</v>
      </c>
      <c r="I167" s="48" t="s">
        <v>653</v>
      </c>
      <c r="J167" s="46"/>
      <c r="K167" s="49"/>
      <c r="L167" s="50"/>
      <c r="M167" s="50"/>
      <c r="N167" s="50"/>
      <c r="O167" s="51"/>
      <c r="P167" s="49"/>
      <c r="Q167" s="51"/>
      <c r="R167" s="52"/>
      <c r="S167" s="49"/>
      <c r="T167" s="53"/>
      <c r="U167" s="48"/>
      <c r="V167" s="54"/>
    </row>
    <row r="168" spans="3:22" s="41" customFormat="1" ht="20.25" customHeight="1">
      <c r="C168" s="42">
        <f>+IF(E168&lt;&gt;0,MAX($C$1:C167)+1,"")</f>
        <v>147</v>
      </c>
      <c r="D168" s="43">
        <v>301209005</v>
      </c>
      <c r="E168" s="44" t="s">
        <v>66</v>
      </c>
      <c r="F168" s="45" t="s">
        <v>381</v>
      </c>
      <c r="G168" s="46">
        <v>41165</v>
      </c>
      <c r="H168" s="47" t="s">
        <v>24</v>
      </c>
      <c r="I168" s="48" t="s">
        <v>349</v>
      </c>
      <c r="J168" s="46"/>
      <c r="K168" s="49"/>
      <c r="L168" s="50"/>
      <c r="M168" s="50"/>
      <c r="N168" s="50"/>
      <c r="O168" s="51"/>
      <c r="P168" s="49"/>
      <c r="Q168" s="51"/>
      <c r="R168" s="52"/>
      <c r="S168" s="49"/>
      <c r="T168" s="53"/>
      <c r="U168" s="48"/>
      <c r="V168" s="54"/>
    </row>
    <row r="169" spans="3:22" s="41" customFormat="1" ht="20.25" customHeight="1">
      <c r="C169" s="42">
        <f>+IF(E169&lt;&gt;0,MAX($C$1:C168)+1,"")</f>
        <v>148</v>
      </c>
      <c r="D169" s="43">
        <v>301504015</v>
      </c>
      <c r="E169" s="44" t="s">
        <v>382</v>
      </c>
      <c r="F169" s="45" t="s">
        <v>87</v>
      </c>
      <c r="G169" s="46">
        <v>42100</v>
      </c>
      <c r="H169" s="47" t="s">
        <v>24</v>
      </c>
      <c r="I169" s="48" t="s">
        <v>349</v>
      </c>
      <c r="J169" s="46"/>
      <c r="K169" s="49"/>
      <c r="L169" s="50"/>
      <c r="M169" s="50"/>
      <c r="N169" s="50"/>
      <c r="O169" s="51"/>
      <c r="P169" s="49"/>
      <c r="Q169" s="51"/>
      <c r="R169" s="52"/>
      <c r="S169" s="49"/>
      <c r="T169" s="53"/>
      <c r="U169" s="48"/>
      <c r="V169" s="54"/>
    </row>
    <row r="170" spans="3:22" s="41" customFormat="1" ht="20.25" customHeight="1">
      <c r="C170" s="42">
        <f>+IF(E170&lt;&gt;0,MAX($C$1:C169)+1,"")</f>
        <v>149</v>
      </c>
      <c r="D170" s="43">
        <v>301507044</v>
      </c>
      <c r="E170" s="44" t="s">
        <v>84</v>
      </c>
      <c r="F170" s="45" t="s">
        <v>172</v>
      </c>
      <c r="G170" s="46">
        <v>42214</v>
      </c>
      <c r="H170" s="47" t="s">
        <v>24</v>
      </c>
      <c r="I170" s="48" t="s">
        <v>349</v>
      </c>
      <c r="J170" s="46"/>
      <c r="K170" s="49"/>
      <c r="L170" s="50"/>
      <c r="M170" s="50"/>
      <c r="N170" s="50"/>
      <c r="O170" s="51"/>
      <c r="P170" s="49"/>
      <c r="Q170" s="51"/>
      <c r="R170" s="52"/>
      <c r="S170" s="49"/>
      <c r="T170" s="53"/>
      <c r="U170" s="48"/>
      <c r="V170" s="54"/>
    </row>
    <row r="171" spans="3:22" s="41" customFormat="1" ht="20.25" customHeight="1">
      <c r="C171" s="42">
        <f>+IF(E171&lt;&gt;0,MAX($C$1:C170)+1,"")</f>
        <v>150</v>
      </c>
      <c r="D171" s="43">
        <v>311809070</v>
      </c>
      <c r="E171" s="44" t="s">
        <v>383</v>
      </c>
      <c r="F171" s="45" t="s">
        <v>156</v>
      </c>
      <c r="G171" s="46">
        <v>43355</v>
      </c>
      <c r="H171" s="47" t="s">
        <v>24</v>
      </c>
      <c r="I171" s="48" t="s">
        <v>349</v>
      </c>
      <c r="J171" s="46"/>
      <c r="K171" s="49"/>
      <c r="L171" s="50"/>
      <c r="M171" s="50"/>
      <c r="N171" s="50"/>
      <c r="O171" s="51"/>
      <c r="P171" s="49"/>
      <c r="Q171" s="51"/>
      <c r="R171" s="52"/>
      <c r="S171" s="49"/>
      <c r="T171" s="53"/>
      <c r="U171" s="48"/>
      <c r="V171" s="54"/>
    </row>
    <row r="172" spans="3:22" s="41" customFormat="1" ht="20.25" customHeight="1">
      <c r="C172" s="42">
        <f>+IF(E172&lt;&gt;0,MAX($C$1:C171)+1,"")</f>
        <v>151</v>
      </c>
      <c r="D172" s="43">
        <v>331411097</v>
      </c>
      <c r="E172" s="44" t="s">
        <v>101</v>
      </c>
      <c r="F172" s="45" t="s">
        <v>365</v>
      </c>
      <c r="G172" s="46">
        <v>41955</v>
      </c>
      <c r="H172" s="47" t="s">
        <v>24</v>
      </c>
      <c r="I172" s="48" t="s">
        <v>349</v>
      </c>
      <c r="J172" s="46"/>
      <c r="K172" s="49"/>
      <c r="L172" s="50"/>
      <c r="M172" s="50"/>
      <c r="N172" s="50"/>
      <c r="O172" s="51"/>
      <c r="P172" s="49"/>
      <c r="Q172" s="51"/>
      <c r="R172" s="52"/>
      <c r="S172" s="49"/>
      <c r="T172" s="53"/>
      <c r="U172" s="48"/>
      <c r="V172" s="54"/>
    </row>
    <row r="173" spans="3:22" s="41" customFormat="1" ht="20.25" customHeight="1">
      <c r="C173" s="42">
        <f>+IF(E173&lt;&gt;0,MAX($C$1:C172)+1,"")</f>
        <v>152</v>
      </c>
      <c r="D173" s="43">
        <v>311310078</v>
      </c>
      <c r="E173" s="44" t="s">
        <v>384</v>
      </c>
      <c r="F173" s="45" t="s">
        <v>97</v>
      </c>
      <c r="G173" s="46">
        <v>41571</v>
      </c>
      <c r="H173" s="47" t="s">
        <v>24</v>
      </c>
      <c r="I173" s="48" t="s">
        <v>349</v>
      </c>
      <c r="J173" s="46"/>
      <c r="K173" s="49"/>
      <c r="L173" s="50"/>
      <c r="M173" s="50"/>
      <c r="N173" s="50"/>
      <c r="O173" s="51"/>
      <c r="P173" s="49"/>
      <c r="Q173" s="51"/>
      <c r="R173" s="52"/>
      <c r="S173" s="49"/>
      <c r="T173" s="53"/>
      <c r="U173" s="48"/>
      <c r="V173" s="54"/>
    </row>
    <row r="174" spans="3:22" s="41" customFormat="1" ht="20.25" customHeight="1">
      <c r="C174" s="42">
        <f>+IF(E174&lt;&gt;0,MAX($C$1:C173)+1,"")</f>
        <v>153</v>
      </c>
      <c r="D174" s="43">
        <v>102208025</v>
      </c>
      <c r="E174" s="44" t="s">
        <v>66</v>
      </c>
      <c r="F174" s="45" t="s">
        <v>110</v>
      </c>
      <c r="G174" s="46">
        <v>44788</v>
      </c>
      <c r="H174" s="47" t="s">
        <v>24</v>
      </c>
      <c r="I174" s="48" t="s">
        <v>349</v>
      </c>
      <c r="J174" s="46"/>
      <c r="K174" s="49"/>
      <c r="L174" s="50"/>
      <c r="M174" s="50"/>
      <c r="N174" s="50"/>
      <c r="O174" s="51"/>
      <c r="P174" s="49"/>
      <c r="Q174" s="51"/>
      <c r="R174" s="52"/>
      <c r="S174" s="49"/>
      <c r="T174" s="53"/>
      <c r="U174" s="48"/>
      <c r="V174" s="54"/>
    </row>
    <row r="175" spans="3:22" s="41" customFormat="1" ht="20.25" customHeight="1">
      <c r="C175" s="42">
        <f>+IF(E175&lt;&gt;0,MAX($C$1:C174)+1,"")</f>
        <v>154</v>
      </c>
      <c r="D175" s="43">
        <v>102304023</v>
      </c>
      <c r="E175" s="44" t="s">
        <v>385</v>
      </c>
      <c r="F175" s="45" t="s">
        <v>110</v>
      </c>
      <c r="G175" s="46">
        <v>45028</v>
      </c>
      <c r="H175" s="47" t="s">
        <v>24</v>
      </c>
      <c r="I175" s="48" t="s">
        <v>349</v>
      </c>
      <c r="J175" s="46"/>
      <c r="K175" s="49"/>
      <c r="L175" s="50"/>
      <c r="M175" s="50"/>
      <c r="N175" s="50"/>
      <c r="O175" s="51"/>
      <c r="P175" s="49"/>
      <c r="Q175" s="51"/>
      <c r="R175" s="52"/>
      <c r="S175" s="49"/>
      <c r="T175" s="53"/>
      <c r="U175" s="48"/>
      <c r="V175" s="54"/>
    </row>
    <row r="176" spans="3:22" s="41" customFormat="1" ht="20.25" customHeight="1">
      <c r="C176" s="42">
        <f>+IF(E176&lt;&gt;0,MAX($C$1:C175)+1,"")</f>
        <v>155</v>
      </c>
      <c r="D176" s="43">
        <v>111703414</v>
      </c>
      <c r="E176" s="44" t="s">
        <v>386</v>
      </c>
      <c r="F176" s="45" t="s">
        <v>99</v>
      </c>
      <c r="G176" s="46">
        <v>42819</v>
      </c>
      <c r="H176" s="47" t="s">
        <v>24</v>
      </c>
      <c r="I176" s="48" t="s">
        <v>349</v>
      </c>
      <c r="J176" s="46"/>
      <c r="K176" s="49"/>
      <c r="L176" s="50"/>
      <c r="M176" s="50"/>
      <c r="N176" s="50"/>
      <c r="O176" s="51"/>
      <c r="P176" s="49"/>
      <c r="Q176" s="51"/>
      <c r="R176" s="52"/>
      <c r="S176" s="49"/>
      <c r="T176" s="53"/>
      <c r="U176" s="48"/>
      <c r="V176" s="54"/>
    </row>
    <row r="177" spans="3:22" s="41" customFormat="1" ht="20.25" customHeight="1">
      <c r="C177" s="42">
        <f>+IF(E177&lt;&gt;0,MAX($C$1:C176)+1,"")</f>
        <v>156</v>
      </c>
      <c r="D177" s="43">
        <v>301510012</v>
      </c>
      <c r="E177" s="44" t="s">
        <v>387</v>
      </c>
      <c r="F177" s="45" t="s">
        <v>54</v>
      </c>
      <c r="G177" s="46">
        <v>42284</v>
      </c>
      <c r="H177" s="47" t="s">
        <v>31</v>
      </c>
      <c r="I177" s="48" t="s">
        <v>349</v>
      </c>
      <c r="J177" s="46"/>
      <c r="K177" s="49"/>
      <c r="L177" s="50"/>
      <c r="M177" s="50"/>
      <c r="N177" s="50"/>
      <c r="O177" s="51"/>
      <c r="P177" s="49"/>
      <c r="Q177" s="51"/>
      <c r="R177" s="52"/>
      <c r="S177" s="49"/>
      <c r="T177" s="53"/>
      <c r="U177" s="48"/>
      <c r="V177" s="54"/>
    </row>
    <row r="178" spans="3:22" s="41" customFormat="1" ht="20.25" customHeight="1">
      <c r="C178" s="42">
        <f>+IF(E178&lt;&gt;0,MAX($C$1:C177)+1,"")</f>
        <v>157</v>
      </c>
      <c r="D178" s="43">
        <v>301309009</v>
      </c>
      <c r="E178" s="44" t="s">
        <v>288</v>
      </c>
      <c r="F178" s="45" t="s">
        <v>388</v>
      </c>
      <c r="G178" s="46">
        <v>41526</v>
      </c>
      <c r="H178" s="47" t="s">
        <v>24</v>
      </c>
      <c r="I178" s="48" t="s">
        <v>349</v>
      </c>
      <c r="J178" s="46"/>
      <c r="K178" s="49"/>
      <c r="L178" s="50"/>
      <c r="M178" s="50"/>
      <c r="N178" s="50"/>
      <c r="O178" s="51"/>
      <c r="P178" s="49"/>
      <c r="Q178" s="51"/>
      <c r="R178" s="52"/>
      <c r="S178" s="49"/>
      <c r="T178" s="53"/>
      <c r="U178" s="48"/>
      <c r="V178" s="54"/>
    </row>
    <row r="179" spans="3:22" s="41" customFormat="1" ht="20.25" customHeight="1">
      <c r="C179" s="42">
        <f>+IF(E179&lt;&gt;0,MAX($C$1:C178)+1,"")</f>
        <v>158</v>
      </c>
      <c r="D179" s="43">
        <v>102208024</v>
      </c>
      <c r="E179" s="44" t="s">
        <v>389</v>
      </c>
      <c r="F179" s="45" t="s">
        <v>99</v>
      </c>
      <c r="G179" s="46">
        <v>44788</v>
      </c>
      <c r="H179" s="47" t="s">
        <v>24</v>
      </c>
      <c r="I179" s="48" t="s">
        <v>349</v>
      </c>
      <c r="J179" s="46"/>
      <c r="K179" s="49"/>
      <c r="L179" s="50"/>
      <c r="M179" s="50"/>
      <c r="N179" s="50"/>
      <c r="O179" s="51"/>
      <c r="P179" s="49"/>
      <c r="Q179" s="51"/>
      <c r="R179" s="52"/>
      <c r="S179" s="49"/>
      <c r="T179" s="53"/>
      <c r="U179" s="48"/>
      <c r="V179" s="54"/>
    </row>
    <row r="180" spans="3:22" s="41" customFormat="1" ht="20.25" customHeight="1">
      <c r="C180" s="42">
        <f>+IF(E180&lt;&gt;0,MAX($C$1:C179)+1,"")</f>
        <v>159</v>
      </c>
      <c r="D180" s="43">
        <v>301507047</v>
      </c>
      <c r="E180" s="44" t="s">
        <v>598</v>
      </c>
      <c r="F180" s="45" t="s">
        <v>124</v>
      </c>
      <c r="G180" s="46">
        <v>42215</v>
      </c>
      <c r="H180" s="47" t="s">
        <v>24</v>
      </c>
      <c r="I180" s="48" t="s">
        <v>349</v>
      </c>
      <c r="J180" s="46"/>
      <c r="K180" s="49"/>
      <c r="L180" s="50"/>
      <c r="M180" s="50"/>
      <c r="N180" s="50"/>
      <c r="O180" s="51"/>
      <c r="P180" s="49"/>
      <c r="Q180" s="51"/>
      <c r="R180" s="52"/>
      <c r="S180" s="49"/>
      <c r="T180" s="53"/>
      <c r="U180" s="48"/>
      <c r="V180" s="54"/>
    </row>
    <row r="181" spans="3:22" s="41" customFormat="1" ht="20.25" customHeight="1">
      <c r="C181" s="42">
        <f>+IF(E181&lt;&gt;0,MAX($C$1:C180)+1,"")</f>
        <v>160</v>
      </c>
      <c r="D181" s="43">
        <v>302302004</v>
      </c>
      <c r="E181" s="44" t="s">
        <v>390</v>
      </c>
      <c r="F181" s="45" t="s">
        <v>58</v>
      </c>
      <c r="G181" s="46">
        <v>44978</v>
      </c>
      <c r="H181" s="47" t="s">
        <v>24</v>
      </c>
      <c r="I181" s="48" t="s">
        <v>349</v>
      </c>
      <c r="J181" s="46"/>
      <c r="K181" s="49"/>
      <c r="L181" s="50"/>
      <c r="M181" s="50"/>
      <c r="N181" s="50"/>
      <c r="O181" s="51"/>
      <c r="P181" s="49"/>
      <c r="Q181" s="51"/>
      <c r="R181" s="52"/>
      <c r="S181" s="49"/>
      <c r="T181" s="53"/>
      <c r="U181" s="48"/>
      <c r="V181" s="54"/>
    </row>
    <row r="182" spans="3:22" s="41" customFormat="1" ht="20.25" customHeight="1">
      <c r="C182" s="42">
        <f>+IF(E182&lt;&gt;0,MAX($C$1:C181)+1,"")</f>
        <v>161</v>
      </c>
      <c r="D182" s="43">
        <v>301508001</v>
      </c>
      <c r="E182" s="44" t="s">
        <v>343</v>
      </c>
      <c r="F182" s="45" t="s">
        <v>391</v>
      </c>
      <c r="G182" s="46">
        <v>42217</v>
      </c>
      <c r="H182" s="47" t="s">
        <v>24</v>
      </c>
      <c r="I182" s="48" t="s">
        <v>349</v>
      </c>
      <c r="J182" s="46"/>
      <c r="K182" s="49"/>
      <c r="L182" s="50"/>
      <c r="M182" s="50"/>
      <c r="N182" s="50"/>
      <c r="O182" s="51"/>
      <c r="P182" s="49"/>
      <c r="Q182" s="51"/>
      <c r="R182" s="52"/>
      <c r="S182" s="49"/>
      <c r="T182" s="53"/>
      <c r="U182" s="48"/>
      <c r="V182" s="54"/>
    </row>
    <row r="183" spans="3:22" s="41" customFormat="1" ht="20.25" customHeight="1">
      <c r="C183" s="42">
        <f>+IF(E183&lt;&gt;0,MAX($C$1:C182)+1,"")</f>
        <v>162</v>
      </c>
      <c r="D183" s="43">
        <v>102103065</v>
      </c>
      <c r="E183" s="44" t="s">
        <v>380</v>
      </c>
      <c r="F183" s="45" t="s">
        <v>340</v>
      </c>
      <c r="G183" s="46">
        <v>44259</v>
      </c>
      <c r="H183" s="47" t="s">
        <v>24</v>
      </c>
      <c r="I183" s="48" t="s">
        <v>349</v>
      </c>
      <c r="J183" s="46"/>
      <c r="K183" s="49"/>
      <c r="L183" s="50"/>
      <c r="M183" s="50"/>
      <c r="N183" s="50"/>
      <c r="O183" s="51"/>
      <c r="P183" s="49"/>
      <c r="Q183" s="51"/>
      <c r="R183" s="52"/>
      <c r="S183" s="49"/>
      <c r="T183" s="53"/>
      <c r="U183" s="48"/>
      <c r="V183" s="54"/>
    </row>
    <row r="184" spans="3:22" s="41" customFormat="1" ht="20.25" customHeight="1">
      <c r="C184" s="42">
        <f>+IF(E184&lt;&gt;0,MAX($C$1:C183)+1,"")</f>
        <v>163</v>
      </c>
      <c r="D184" s="43">
        <v>351706253</v>
      </c>
      <c r="E184" s="44" t="s">
        <v>392</v>
      </c>
      <c r="F184" s="45" t="s">
        <v>393</v>
      </c>
      <c r="G184" s="46">
        <v>42905</v>
      </c>
      <c r="H184" s="47" t="s">
        <v>24</v>
      </c>
      <c r="I184" s="48" t="s">
        <v>349</v>
      </c>
      <c r="J184" s="46"/>
      <c r="K184" s="49"/>
      <c r="L184" s="50"/>
      <c r="M184" s="50"/>
      <c r="N184" s="50"/>
      <c r="O184" s="51"/>
      <c r="P184" s="49"/>
      <c r="Q184" s="51"/>
      <c r="R184" s="52"/>
      <c r="S184" s="49"/>
      <c r="T184" s="53"/>
      <c r="U184" s="48"/>
      <c r="V184" s="54"/>
    </row>
    <row r="185" spans="3:22" s="41" customFormat="1" ht="20.25" customHeight="1">
      <c r="C185" s="42">
        <f>+IF(E185&lt;&gt;0,MAX($C$1:C184)+1,"")</f>
        <v>164</v>
      </c>
      <c r="D185" s="43">
        <v>551907197</v>
      </c>
      <c r="E185" s="44" t="s">
        <v>348</v>
      </c>
      <c r="F185" s="45" t="s">
        <v>215</v>
      </c>
      <c r="G185" s="46">
        <v>43661</v>
      </c>
      <c r="H185" s="47" t="s">
        <v>24</v>
      </c>
      <c r="I185" s="48" t="s">
        <v>349</v>
      </c>
      <c r="J185" s="46"/>
      <c r="K185" s="49"/>
      <c r="L185" s="50"/>
      <c r="M185" s="50"/>
      <c r="N185" s="50"/>
      <c r="O185" s="51"/>
      <c r="P185" s="49"/>
      <c r="Q185" s="51"/>
      <c r="R185" s="52"/>
      <c r="S185" s="49"/>
      <c r="T185" s="53"/>
      <c r="U185" s="48"/>
      <c r="V185" s="54"/>
    </row>
    <row r="186" spans="3:22" s="41" customFormat="1" ht="20.25" customHeight="1">
      <c r="C186" s="42">
        <f>+IF(E186&lt;&gt;0,MAX($C$1:C185)+1,"")</f>
        <v>165</v>
      </c>
      <c r="D186" s="43">
        <v>552011118</v>
      </c>
      <c r="E186" s="44" t="s">
        <v>362</v>
      </c>
      <c r="F186" s="45" t="s">
        <v>394</v>
      </c>
      <c r="G186" s="46">
        <v>44146</v>
      </c>
      <c r="H186" s="47" t="s">
        <v>24</v>
      </c>
      <c r="I186" s="48" t="s">
        <v>349</v>
      </c>
      <c r="J186" s="46"/>
      <c r="K186" s="49"/>
      <c r="L186" s="50"/>
      <c r="M186" s="50"/>
      <c r="N186" s="50"/>
      <c r="O186" s="51"/>
      <c r="P186" s="49"/>
      <c r="Q186" s="51"/>
      <c r="R186" s="52"/>
      <c r="S186" s="49"/>
      <c r="T186" s="53"/>
      <c r="U186" s="48"/>
      <c r="V186" s="54"/>
    </row>
    <row r="187" spans="3:22" s="41" customFormat="1" ht="20.25" customHeight="1">
      <c r="C187" s="42">
        <f>+IF(E187&lt;&gt;0,MAX($C$1:C186)+1,"")</f>
        <v>166</v>
      </c>
      <c r="D187" s="43">
        <v>102306012</v>
      </c>
      <c r="E187" s="44" t="s">
        <v>360</v>
      </c>
      <c r="F187" s="45" t="s">
        <v>42</v>
      </c>
      <c r="G187" s="46">
        <v>45089</v>
      </c>
      <c r="H187" s="47" t="s">
        <v>24</v>
      </c>
      <c r="I187" s="48" t="s">
        <v>349</v>
      </c>
      <c r="J187" s="46"/>
      <c r="K187" s="49"/>
      <c r="L187" s="50"/>
      <c r="M187" s="50"/>
      <c r="N187" s="50"/>
      <c r="O187" s="51"/>
      <c r="P187" s="49"/>
      <c r="Q187" s="51"/>
      <c r="R187" s="52"/>
      <c r="S187" s="49"/>
      <c r="T187" s="53"/>
      <c r="U187" s="48"/>
      <c r="V187" s="54"/>
    </row>
    <row r="188" spans="3:22" s="41" customFormat="1" ht="20.25" customHeight="1">
      <c r="C188" s="42">
        <f>+IF(E188&lt;&gt;0,MAX($C$1:C187)+1,"")</f>
        <v>167</v>
      </c>
      <c r="D188" s="43">
        <v>102107001</v>
      </c>
      <c r="E188" s="44" t="s">
        <v>395</v>
      </c>
      <c r="F188" s="45" t="s">
        <v>104</v>
      </c>
      <c r="G188" s="46">
        <v>44382</v>
      </c>
      <c r="H188" s="47" t="s">
        <v>24</v>
      </c>
      <c r="I188" s="48" t="s">
        <v>349</v>
      </c>
      <c r="J188" s="46"/>
      <c r="K188" s="49"/>
      <c r="L188" s="50"/>
      <c r="M188" s="50"/>
      <c r="N188" s="50"/>
      <c r="O188" s="51"/>
      <c r="P188" s="49"/>
      <c r="Q188" s="51"/>
      <c r="R188" s="52"/>
      <c r="S188" s="49"/>
      <c r="T188" s="53"/>
      <c r="U188" s="48"/>
      <c r="V188" s="54"/>
    </row>
    <row r="189" spans="3:22" s="41" customFormat="1" ht="20.25" customHeight="1">
      <c r="C189" s="42">
        <f>+IF(E189&lt;&gt;0,MAX($C$1:C188)+1,"")</f>
        <v>168</v>
      </c>
      <c r="D189" s="43">
        <v>102107002</v>
      </c>
      <c r="E189" s="44" t="s">
        <v>69</v>
      </c>
      <c r="F189" s="45" t="s">
        <v>396</v>
      </c>
      <c r="G189" s="46">
        <v>44382</v>
      </c>
      <c r="H189" s="47" t="s">
        <v>24</v>
      </c>
      <c r="I189" s="48" t="s">
        <v>349</v>
      </c>
      <c r="J189" s="46"/>
      <c r="K189" s="49"/>
      <c r="L189" s="50"/>
      <c r="M189" s="50"/>
      <c r="N189" s="50"/>
      <c r="O189" s="51"/>
      <c r="P189" s="49"/>
      <c r="Q189" s="51"/>
      <c r="R189" s="52"/>
      <c r="S189" s="49"/>
      <c r="T189" s="53"/>
      <c r="U189" s="48"/>
      <c r="V189" s="54"/>
    </row>
    <row r="190" spans="3:22" s="41" customFormat="1" ht="20.25" customHeight="1">
      <c r="C190" s="42">
        <f>+IF(E190&lt;&gt;0,MAX($C$1:C189)+1,"")</f>
        <v>169</v>
      </c>
      <c r="D190" s="43">
        <v>412107064</v>
      </c>
      <c r="E190" s="44" t="s">
        <v>397</v>
      </c>
      <c r="F190" s="45" t="s">
        <v>398</v>
      </c>
      <c r="G190" s="46">
        <v>44378</v>
      </c>
      <c r="H190" s="47" t="s">
        <v>24</v>
      </c>
      <c r="I190" s="48" t="s">
        <v>349</v>
      </c>
      <c r="J190" s="46"/>
      <c r="K190" s="49"/>
      <c r="L190" s="50"/>
      <c r="M190" s="50"/>
      <c r="N190" s="50"/>
      <c r="O190" s="51"/>
      <c r="P190" s="49"/>
      <c r="Q190" s="51"/>
      <c r="R190" s="52"/>
      <c r="S190" s="49"/>
      <c r="T190" s="53"/>
      <c r="U190" s="48"/>
      <c r="V190" s="54"/>
    </row>
    <row r="191" spans="3:22" s="41" customFormat="1" ht="20.25" customHeight="1">
      <c r="C191" s="42">
        <f>+IF(E191&lt;&gt;0,MAX($C$1:C190)+1,"")</f>
        <v>170</v>
      </c>
      <c r="D191" s="43">
        <v>231407026</v>
      </c>
      <c r="E191" s="44" t="s">
        <v>399</v>
      </c>
      <c r="F191" s="45" t="s">
        <v>299</v>
      </c>
      <c r="G191" s="46">
        <v>41828</v>
      </c>
      <c r="H191" s="47" t="s">
        <v>24</v>
      </c>
      <c r="I191" s="48" t="s">
        <v>349</v>
      </c>
      <c r="J191" s="46"/>
      <c r="K191" s="49"/>
      <c r="L191" s="50"/>
      <c r="M191" s="50"/>
      <c r="N191" s="50"/>
      <c r="O191" s="51"/>
      <c r="P191" s="49"/>
      <c r="Q191" s="51"/>
      <c r="R191" s="52"/>
      <c r="S191" s="49"/>
      <c r="T191" s="53"/>
      <c r="U191" s="48"/>
      <c r="V191" s="54"/>
    </row>
    <row r="192" spans="3:22" s="41" customFormat="1" ht="20.25" customHeight="1">
      <c r="C192" s="42">
        <f>+IF(E192&lt;&gt;0,MAX($C$1:C191)+1,"")</f>
        <v>171</v>
      </c>
      <c r="D192" s="43">
        <v>331508081</v>
      </c>
      <c r="E192" s="44" t="s">
        <v>400</v>
      </c>
      <c r="F192" s="45" t="s">
        <v>261</v>
      </c>
      <c r="G192" s="46">
        <v>42235</v>
      </c>
      <c r="H192" s="47" t="s">
        <v>24</v>
      </c>
      <c r="I192" s="48" t="s">
        <v>349</v>
      </c>
      <c r="J192" s="46"/>
      <c r="K192" s="49"/>
      <c r="L192" s="50"/>
      <c r="M192" s="50"/>
      <c r="N192" s="50"/>
      <c r="O192" s="51"/>
      <c r="P192" s="49"/>
      <c r="Q192" s="51"/>
      <c r="R192" s="52"/>
      <c r="S192" s="49"/>
      <c r="T192" s="53"/>
      <c r="U192" s="48"/>
      <c r="V192" s="54"/>
    </row>
    <row r="193" spans="2:25" s="41" customFormat="1" ht="20.25" customHeight="1">
      <c r="B193" s="1"/>
      <c r="C193" s="242" t="s">
        <v>679</v>
      </c>
      <c r="D193" s="243"/>
      <c r="E193" s="244"/>
      <c r="F193" s="245"/>
      <c r="G193" s="246"/>
      <c r="H193" s="244"/>
      <c r="I193" s="245"/>
      <c r="J193" s="246"/>
      <c r="K193" s="32"/>
      <c r="L193" s="246"/>
      <c r="M193" s="243"/>
      <c r="N193" s="243"/>
      <c r="O193" s="246"/>
      <c r="P193" s="32"/>
      <c r="Q193" s="246"/>
      <c r="R193" s="247"/>
      <c r="S193" s="32"/>
      <c r="T193" s="248"/>
      <c r="U193" s="245"/>
      <c r="V193" s="54"/>
      <c r="W193" s="1"/>
      <c r="X193" s="1"/>
      <c r="Y193" s="1"/>
    </row>
    <row r="194" spans="2:25" s="41" customFormat="1" ht="20.25" customHeight="1">
      <c r="C194" s="42">
        <f>+IF(E194&lt;&gt;0,MAX($C$1:C192)+1,"")</f>
        <v>172</v>
      </c>
      <c r="D194" s="43">
        <v>210112001</v>
      </c>
      <c r="E194" s="44" t="s">
        <v>406</v>
      </c>
      <c r="F194" s="45" t="s">
        <v>407</v>
      </c>
      <c r="G194" s="46">
        <v>37251</v>
      </c>
      <c r="H194" s="47" t="s">
        <v>61</v>
      </c>
      <c r="I194" s="48" t="s">
        <v>651</v>
      </c>
      <c r="J194" s="46"/>
      <c r="K194" s="49"/>
      <c r="L194" s="50"/>
      <c r="M194" s="50"/>
      <c r="N194" s="50"/>
      <c r="O194" s="51"/>
      <c r="P194" s="49"/>
      <c r="Q194" s="51"/>
      <c r="R194" s="52"/>
      <c r="S194" s="49"/>
      <c r="T194" s="53"/>
      <c r="U194" s="48"/>
      <c r="V194" s="54"/>
    </row>
    <row r="195" spans="2:25" s="41" customFormat="1" ht="20.25" customHeight="1">
      <c r="C195" s="42">
        <f>+IF(E195&lt;&gt;0,MAX($C$1:C194)+1,"")</f>
        <v>173</v>
      </c>
      <c r="D195" s="43">
        <v>211808033</v>
      </c>
      <c r="E195" s="44" t="s">
        <v>84</v>
      </c>
      <c r="F195" s="45" t="s">
        <v>408</v>
      </c>
      <c r="G195" s="46">
        <v>43315</v>
      </c>
      <c r="H195" s="47" t="s">
        <v>24</v>
      </c>
      <c r="I195" s="48" t="s">
        <v>651</v>
      </c>
      <c r="J195" s="46"/>
      <c r="K195" s="49"/>
      <c r="L195" s="50"/>
      <c r="M195" s="50"/>
      <c r="N195" s="50"/>
      <c r="O195" s="51"/>
      <c r="P195" s="49"/>
      <c r="Q195" s="51"/>
      <c r="R195" s="52"/>
      <c r="S195" s="49"/>
      <c r="T195" s="53"/>
      <c r="U195" s="48"/>
      <c r="V195" s="54"/>
    </row>
    <row r="196" spans="2:25" s="41" customFormat="1" ht="20.25" customHeight="1">
      <c r="C196" s="42">
        <f>+IF(E196&lt;&gt;0,MAX($C$1:C195)+1,"")</f>
        <v>174</v>
      </c>
      <c r="D196" s="43">
        <v>101809017</v>
      </c>
      <c r="E196" s="44" t="s">
        <v>284</v>
      </c>
      <c r="F196" s="45" t="s">
        <v>295</v>
      </c>
      <c r="G196" s="46">
        <v>43346</v>
      </c>
      <c r="H196" s="47" t="s">
        <v>24</v>
      </c>
      <c r="I196" s="48" t="s">
        <v>651</v>
      </c>
      <c r="J196" s="46"/>
      <c r="K196" s="49"/>
      <c r="L196" s="50"/>
      <c r="M196" s="50"/>
      <c r="N196" s="50"/>
      <c r="O196" s="51"/>
      <c r="P196" s="49"/>
      <c r="Q196" s="51"/>
      <c r="R196" s="52"/>
      <c r="S196" s="49"/>
      <c r="T196" s="53"/>
      <c r="U196" s="48"/>
      <c r="V196" s="54"/>
    </row>
    <row r="197" spans="2:25" s="41" customFormat="1" ht="20.25" customHeight="1">
      <c r="C197" s="42">
        <f>+IF(E197&lt;&gt;0,MAX($C$1:C196)+1,"")</f>
        <v>175</v>
      </c>
      <c r="D197" s="43">
        <v>110011011</v>
      </c>
      <c r="E197" s="44" t="s">
        <v>401</v>
      </c>
      <c r="F197" s="45" t="s">
        <v>402</v>
      </c>
      <c r="G197" s="46">
        <v>36843</v>
      </c>
      <c r="H197" s="47" t="s">
        <v>61</v>
      </c>
      <c r="I197" s="48" t="s">
        <v>651</v>
      </c>
      <c r="J197" s="46"/>
      <c r="K197" s="49"/>
      <c r="L197" s="50"/>
      <c r="M197" s="50"/>
      <c r="N197" s="50"/>
      <c r="O197" s="51"/>
      <c r="P197" s="49"/>
      <c r="Q197" s="51"/>
      <c r="R197" s="52"/>
      <c r="S197" s="49"/>
      <c r="T197" s="53"/>
      <c r="U197" s="48"/>
      <c r="V197" s="54"/>
    </row>
    <row r="198" spans="2:25" s="41" customFormat="1" ht="20.25" customHeight="1">
      <c r="C198" s="42">
        <f>+IF(E198&lt;&gt;0,MAX($C$1:C197)+1,"")</f>
        <v>176</v>
      </c>
      <c r="D198" s="43">
        <v>651706001</v>
      </c>
      <c r="E198" s="44" t="s">
        <v>409</v>
      </c>
      <c r="F198" s="45" t="s">
        <v>87</v>
      </c>
      <c r="G198" s="46">
        <v>42887</v>
      </c>
      <c r="H198" s="47" t="s">
        <v>24</v>
      </c>
      <c r="I198" s="48" t="s">
        <v>651</v>
      </c>
      <c r="J198" s="46"/>
      <c r="K198" s="49"/>
      <c r="L198" s="50"/>
      <c r="M198" s="50"/>
      <c r="N198" s="50"/>
      <c r="O198" s="51"/>
      <c r="P198" s="49"/>
      <c r="Q198" s="51"/>
      <c r="R198" s="52"/>
      <c r="S198" s="49"/>
      <c r="T198" s="53"/>
      <c r="U198" s="48"/>
      <c r="V198" s="54"/>
    </row>
    <row r="199" spans="2:25" s="41" customFormat="1" ht="20.25" customHeight="1">
      <c r="C199" s="42">
        <f>+IF(E199&lt;&gt;0,MAX($C$1:C198)+1,"")</f>
        <v>177</v>
      </c>
      <c r="D199" s="43">
        <v>681808001</v>
      </c>
      <c r="E199" s="44" t="s">
        <v>66</v>
      </c>
      <c r="F199" s="45" t="s">
        <v>58</v>
      </c>
      <c r="G199" s="46">
        <v>43318</v>
      </c>
      <c r="H199" s="47" t="s">
        <v>24</v>
      </c>
      <c r="I199" s="48" t="s">
        <v>651</v>
      </c>
      <c r="J199" s="46"/>
      <c r="K199" s="49"/>
      <c r="L199" s="50"/>
      <c r="M199" s="50"/>
      <c r="N199" s="50"/>
      <c r="O199" s="51"/>
      <c r="P199" s="49"/>
      <c r="Q199" s="51"/>
      <c r="R199" s="52"/>
      <c r="S199" s="49"/>
      <c r="T199" s="53"/>
      <c r="U199" s="48"/>
      <c r="V199" s="54"/>
    </row>
    <row r="200" spans="2:25" s="41" customFormat="1" ht="20.25" customHeight="1">
      <c r="C200" s="42">
        <f>+IF(E200&lt;&gt;0,MAX($C$1:C199)+1,"")</f>
        <v>178</v>
      </c>
      <c r="D200" s="43">
        <v>109307009</v>
      </c>
      <c r="E200" s="44" t="s">
        <v>403</v>
      </c>
      <c r="F200" s="45" t="s">
        <v>268</v>
      </c>
      <c r="G200" s="46">
        <v>34151</v>
      </c>
      <c r="H200" s="47" t="s">
        <v>61</v>
      </c>
      <c r="I200" s="48" t="s">
        <v>651</v>
      </c>
      <c r="J200" s="46"/>
      <c r="K200" s="49"/>
      <c r="L200" s="50"/>
      <c r="M200" s="50"/>
      <c r="N200" s="50"/>
      <c r="O200" s="51"/>
      <c r="P200" s="49"/>
      <c r="Q200" s="51"/>
      <c r="R200" s="52"/>
      <c r="S200" s="49"/>
      <c r="T200" s="53"/>
      <c r="U200" s="48"/>
      <c r="V200" s="54"/>
    </row>
    <row r="201" spans="2:25" s="41" customFormat="1" ht="20.25" customHeight="1">
      <c r="C201" s="42">
        <f>+IF(E201&lt;&gt;0,MAX($C$1:C200)+1,"")</f>
        <v>179</v>
      </c>
      <c r="D201" s="43">
        <v>102208019</v>
      </c>
      <c r="E201" s="44" t="s">
        <v>404</v>
      </c>
      <c r="F201" s="45" t="s">
        <v>405</v>
      </c>
      <c r="G201" s="46">
        <v>44782</v>
      </c>
      <c r="H201" s="47" t="s">
        <v>24</v>
      </c>
      <c r="I201" s="48" t="s">
        <v>651</v>
      </c>
      <c r="J201" s="46"/>
      <c r="K201" s="49"/>
      <c r="L201" s="50"/>
      <c r="M201" s="50"/>
      <c r="N201" s="50"/>
      <c r="O201" s="51"/>
      <c r="P201" s="49"/>
      <c r="Q201" s="51"/>
      <c r="R201" s="52"/>
      <c r="S201" s="49"/>
      <c r="T201" s="53"/>
      <c r="U201" s="48"/>
      <c r="V201" s="54"/>
    </row>
    <row r="202" spans="2:25" s="41" customFormat="1" ht="20.25" customHeight="1">
      <c r="B202" s="1"/>
      <c r="C202" s="242" t="s">
        <v>680</v>
      </c>
      <c r="D202" s="243"/>
      <c r="E202" s="244"/>
      <c r="F202" s="245"/>
      <c r="G202" s="246"/>
      <c r="H202" s="244"/>
      <c r="I202" s="245"/>
      <c r="J202" s="246"/>
      <c r="K202" s="32"/>
      <c r="L202" s="246"/>
      <c r="M202" s="243"/>
      <c r="N202" s="243"/>
      <c r="O202" s="246"/>
      <c r="P202" s="32"/>
      <c r="Q202" s="246"/>
      <c r="R202" s="247"/>
      <c r="S202" s="32"/>
      <c r="T202" s="248"/>
      <c r="U202" s="245"/>
      <c r="V202" s="54"/>
      <c r="W202" s="1"/>
      <c r="X202" s="1"/>
      <c r="Y202" s="1"/>
    </row>
    <row r="203" spans="2:25" s="41" customFormat="1" ht="20.25" customHeight="1">
      <c r="C203" s="42">
        <f>+IF(E203&lt;&gt;0,MAX($C$1:C201)+1,"")</f>
        <v>180</v>
      </c>
      <c r="D203" s="43">
        <v>102107005</v>
      </c>
      <c r="E203" s="44" t="s">
        <v>343</v>
      </c>
      <c r="F203" s="45" t="s">
        <v>344</v>
      </c>
      <c r="G203" s="46">
        <v>44378</v>
      </c>
      <c r="H203" s="47" t="s">
        <v>34</v>
      </c>
      <c r="I203" s="48" t="s">
        <v>654</v>
      </c>
      <c r="J203" s="46"/>
      <c r="K203" s="49"/>
      <c r="L203" s="50"/>
      <c r="M203" s="50"/>
      <c r="N203" s="50"/>
      <c r="O203" s="51"/>
      <c r="P203" s="49"/>
      <c r="Q203" s="51"/>
      <c r="R203" s="52"/>
      <c r="S203" s="49"/>
      <c r="T203" s="53"/>
      <c r="U203" s="48"/>
      <c r="V203" s="54"/>
    </row>
    <row r="204" spans="2:25" s="41" customFormat="1" ht="20.25" customHeight="1">
      <c r="C204" s="42">
        <f>+IF(E204&lt;&gt;0,MAX($C$1:C203)+1,"")</f>
        <v>181</v>
      </c>
      <c r="D204" s="43">
        <v>100602001</v>
      </c>
      <c r="E204" s="44" t="s">
        <v>345</v>
      </c>
      <c r="F204" s="45" t="s">
        <v>196</v>
      </c>
      <c r="G204" s="46">
        <v>38749</v>
      </c>
      <c r="H204" s="47" t="s">
        <v>34</v>
      </c>
      <c r="I204" s="48" t="s">
        <v>654</v>
      </c>
      <c r="J204" s="46"/>
      <c r="K204" s="49"/>
      <c r="L204" s="50"/>
      <c r="M204" s="50"/>
      <c r="N204" s="50"/>
      <c r="O204" s="51"/>
      <c r="P204" s="49"/>
      <c r="Q204" s="51"/>
      <c r="R204" s="52"/>
      <c r="S204" s="49"/>
      <c r="T204" s="53"/>
      <c r="U204" s="48"/>
      <c r="V204" s="54"/>
    </row>
    <row r="205" spans="2:25" s="41" customFormat="1" ht="20.25" customHeight="1">
      <c r="C205" s="42">
        <f>+IF(E205&lt;&gt;0,MAX($C$1:C204)+1,"")</f>
        <v>182</v>
      </c>
      <c r="D205" s="43">
        <v>101301003</v>
      </c>
      <c r="E205" s="44" t="s">
        <v>53</v>
      </c>
      <c r="F205" s="45" t="s">
        <v>67</v>
      </c>
      <c r="G205" s="46">
        <v>41278</v>
      </c>
      <c r="H205" s="47" t="s">
        <v>571</v>
      </c>
      <c r="I205" s="48" t="s">
        <v>629</v>
      </c>
      <c r="J205" s="46"/>
      <c r="K205" s="49"/>
      <c r="L205" s="50"/>
      <c r="M205" s="50"/>
      <c r="N205" s="50"/>
      <c r="O205" s="51"/>
      <c r="P205" s="49"/>
      <c r="Q205" s="51"/>
      <c r="R205" s="52"/>
      <c r="S205" s="49"/>
      <c r="T205" s="53"/>
      <c r="U205" s="48"/>
      <c r="V205" s="54"/>
    </row>
    <row r="206" spans="2:25" s="41" customFormat="1" ht="20.25" customHeight="1">
      <c r="B206" s="1"/>
      <c r="C206" s="242" t="s">
        <v>681</v>
      </c>
      <c r="D206" s="243"/>
      <c r="E206" s="244"/>
      <c r="F206" s="245"/>
      <c r="G206" s="246"/>
      <c r="H206" s="244"/>
      <c r="I206" s="245"/>
      <c r="J206" s="246"/>
      <c r="K206" s="32"/>
      <c r="L206" s="246"/>
      <c r="M206" s="243"/>
      <c r="N206" s="243"/>
      <c r="O206" s="246"/>
      <c r="P206" s="32"/>
      <c r="Q206" s="246"/>
      <c r="R206" s="247"/>
      <c r="S206" s="32"/>
      <c r="T206" s="248"/>
      <c r="U206" s="245"/>
      <c r="V206" s="54"/>
      <c r="W206" s="1"/>
      <c r="X206" s="1"/>
      <c r="Y206" s="1"/>
    </row>
    <row r="207" spans="2:25" s="41" customFormat="1" ht="20.25" customHeight="1">
      <c r="C207" s="42">
        <f>+IF(E207&lt;&gt;0,MAX($C$1:C205)+1,"")</f>
        <v>183</v>
      </c>
      <c r="D207" s="43">
        <v>301408017</v>
      </c>
      <c r="E207" s="44" t="s">
        <v>180</v>
      </c>
      <c r="F207" s="45" t="s">
        <v>181</v>
      </c>
      <c r="G207" s="46">
        <v>41871</v>
      </c>
      <c r="H207" s="47" t="s">
        <v>52</v>
      </c>
      <c r="I207" s="48" t="s">
        <v>655</v>
      </c>
      <c r="J207" s="46"/>
      <c r="K207" s="49"/>
      <c r="L207" s="50"/>
      <c r="M207" s="50"/>
      <c r="N207" s="50"/>
      <c r="O207" s="51"/>
      <c r="P207" s="49"/>
      <c r="Q207" s="51"/>
      <c r="R207" s="52"/>
      <c r="S207" s="49"/>
      <c r="T207" s="53"/>
      <c r="U207" s="48"/>
      <c r="V207" s="54"/>
    </row>
    <row r="208" spans="2:25" s="41" customFormat="1" ht="20.25" customHeight="1">
      <c r="C208" s="42">
        <f>+IF(E208&lt;&gt;0,MAX($C$1:C207)+1,"")</f>
        <v>184</v>
      </c>
      <c r="D208" s="43">
        <v>300112002</v>
      </c>
      <c r="E208" s="44" t="s">
        <v>186</v>
      </c>
      <c r="F208" s="45" t="s">
        <v>187</v>
      </c>
      <c r="G208" s="46">
        <v>37226</v>
      </c>
      <c r="H208" s="47" t="s">
        <v>34</v>
      </c>
      <c r="I208" s="48" t="s">
        <v>656</v>
      </c>
      <c r="J208" s="46"/>
      <c r="K208" s="49"/>
      <c r="L208" s="50"/>
      <c r="M208" s="50"/>
      <c r="N208" s="50"/>
      <c r="O208" s="51"/>
      <c r="P208" s="49"/>
      <c r="Q208" s="51"/>
      <c r="R208" s="52"/>
      <c r="S208" s="49"/>
      <c r="T208" s="53"/>
      <c r="U208" s="48"/>
      <c r="V208" s="54"/>
    </row>
    <row r="209" spans="2:25" s="41" customFormat="1" ht="20.25" customHeight="1">
      <c r="C209" s="42">
        <f>+IF(E209&lt;&gt;0,MAX($C$1:C208)+1,"")</f>
        <v>185</v>
      </c>
      <c r="D209" s="43">
        <v>311306052</v>
      </c>
      <c r="E209" s="44" t="s">
        <v>184</v>
      </c>
      <c r="F209" s="45" t="s">
        <v>185</v>
      </c>
      <c r="G209" s="46">
        <v>41438</v>
      </c>
      <c r="H209" s="47" t="s">
        <v>24</v>
      </c>
      <c r="I209" s="48" t="s">
        <v>656</v>
      </c>
      <c r="J209" s="46"/>
      <c r="K209" s="49"/>
      <c r="L209" s="50"/>
      <c r="M209" s="50"/>
      <c r="N209" s="50"/>
      <c r="O209" s="51"/>
      <c r="P209" s="49"/>
      <c r="Q209" s="51"/>
      <c r="R209" s="52"/>
      <c r="S209" s="49"/>
      <c r="T209" s="53"/>
      <c r="U209" s="48"/>
      <c r="V209" s="54"/>
    </row>
    <row r="210" spans="2:25" s="41" customFormat="1" ht="20.25" customHeight="1">
      <c r="C210" s="42">
        <f>+IF(E210&lt;&gt;0,MAX($C$1:C209)+1,"")</f>
        <v>186</v>
      </c>
      <c r="D210" s="43">
        <v>100807001</v>
      </c>
      <c r="E210" s="44" t="s">
        <v>182</v>
      </c>
      <c r="F210" s="45" t="s">
        <v>183</v>
      </c>
      <c r="G210" s="46">
        <v>39630</v>
      </c>
      <c r="H210" s="47" t="s">
        <v>24</v>
      </c>
      <c r="I210" s="48" t="s">
        <v>656</v>
      </c>
      <c r="J210" s="46"/>
      <c r="K210" s="49"/>
      <c r="L210" s="50"/>
      <c r="M210" s="50"/>
      <c r="N210" s="50"/>
      <c r="O210" s="51"/>
      <c r="P210" s="49"/>
      <c r="Q210" s="51"/>
      <c r="R210" s="52"/>
      <c r="S210" s="49"/>
      <c r="T210" s="53"/>
      <c r="U210" s="48"/>
      <c r="V210" s="54"/>
    </row>
    <row r="211" spans="2:25" s="41" customFormat="1" ht="20.25" customHeight="1">
      <c r="C211" s="42">
        <f>+IF(E211&lt;&gt;0,MAX($C$1:C210)+1,"")</f>
        <v>187</v>
      </c>
      <c r="D211" s="43">
        <v>109810001</v>
      </c>
      <c r="E211" s="44" t="s">
        <v>188</v>
      </c>
      <c r="F211" s="45" t="s">
        <v>189</v>
      </c>
      <c r="G211" s="46">
        <v>36069</v>
      </c>
      <c r="H211" s="47" t="s">
        <v>28</v>
      </c>
      <c r="I211" s="48" t="s">
        <v>657</v>
      </c>
      <c r="J211" s="46"/>
      <c r="K211" s="49"/>
      <c r="L211" s="50"/>
      <c r="M211" s="50"/>
      <c r="N211" s="50"/>
      <c r="O211" s="51"/>
      <c r="P211" s="49"/>
      <c r="Q211" s="51"/>
      <c r="R211" s="52"/>
      <c r="S211" s="49"/>
      <c r="T211" s="53"/>
      <c r="U211" s="48"/>
      <c r="V211" s="54"/>
    </row>
    <row r="212" spans="2:25" s="41" customFormat="1" ht="20.25" customHeight="1">
      <c r="C212" s="42">
        <f>+IF(E212&lt;&gt;0,MAX($C$1:C211)+1,"")</f>
        <v>188</v>
      </c>
      <c r="D212" s="43">
        <v>300110001</v>
      </c>
      <c r="E212" s="44" t="s">
        <v>200</v>
      </c>
      <c r="F212" s="45" t="s">
        <v>132</v>
      </c>
      <c r="G212" s="46">
        <v>37166</v>
      </c>
      <c r="H212" s="47" t="s">
        <v>24</v>
      </c>
      <c r="I212" s="48" t="s">
        <v>201</v>
      </c>
      <c r="J212" s="46"/>
      <c r="K212" s="49"/>
      <c r="L212" s="50"/>
      <c r="M212" s="50"/>
      <c r="N212" s="50"/>
      <c r="O212" s="51"/>
      <c r="P212" s="49"/>
      <c r="Q212" s="51"/>
      <c r="R212" s="52"/>
      <c r="S212" s="49"/>
      <c r="T212" s="53"/>
      <c r="U212" s="48"/>
      <c r="V212" s="54"/>
    </row>
    <row r="213" spans="2:25" s="41" customFormat="1" ht="20.25" customHeight="1">
      <c r="C213" s="42">
        <f>+IF(E213&lt;&gt;0,MAX($C$1:C212)+1,"")</f>
        <v>189</v>
      </c>
      <c r="D213" s="43">
        <v>100303002</v>
      </c>
      <c r="E213" s="44" t="s">
        <v>195</v>
      </c>
      <c r="F213" s="45" t="s">
        <v>196</v>
      </c>
      <c r="G213" s="46">
        <v>37681</v>
      </c>
      <c r="H213" s="47" t="s">
        <v>24</v>
      </c>
      <c r="I213" s="48" t="s">
        <v>635</v>
      </c>
      <c r="J213" s="46"/>
      <c r="K213" s="49"/>
      <c r="L213" s="50"/>
      <c r="M213" s="50"/>
      <c r="N213" s="50"/>
      <c r="O213" s="51"/>
      <c r="P213" s="49"/>
      <c r="Q213" s="51"/>
      <c r="R213" s="52"/>
      <c r="S213" s="49"/>
      <c r="T213" s="53"/>
      <c r="U213" s="48"/>
      <c r="V213" s="54"/>
    </row>
    <row r="214" spans="2:25" s="41" customFormat="1" ht="20.25" customHeight="1">
      <c r="C214" s="42">
        <f>+IF(E214&lt;&gt;0,MAX($C$1:C213)+1,"")</f>
        <v>190</v>
      </c>
      <c r="D214" s="43">
        <v>101104007</v>
      </c>
      <c r="E214" s="44" t="s">
        <v>192</v>
      </c>
      <c r="F214" s="45" t="s">
        <v>193</v>
      </c>
      <c r="G214" s="46">
        <v>40645</v>
      </c>
      <c r="H214" s="47" t="s">
        <v>24</v>
      </c>
      <c r="I214" s="48" t="s">
        <v>658</v>
      </c>
      <c r="J214" s="46"/>
      <c r="K214" s="49"/>
      <c r="L214" s="50"/>
      <c r="M214" s="50"/>
      <c r="N214" s="50"/>
      <c r="O214" s="51"/>
      <c r="P214" s="49"/>
      <c r="Q214" s="51"/>
      <c r="R214" s="52"/>
      <c r="S214" s="49"/>
      <c r="T214" s="53"/>
      <c r="U214" s="48"/>
      <c r="V214" s="54"/>
    </row>
    <row r="215" spans="2:25" s="41" customFormat="1" ht="20.25" customHeight="1">
      <c r="C215" s="42">
        <f>+IF(E215&lt;&gt;0,MAX($C$1:C214)+1,"")</f>
        <v>191</v>
      </c>
      <c r="D215" s="43">
        <v>101004002</v>
      </c>
      <c r="E215" s="44" t="s">
        <v>53</v>
      </c>
      <c r="F215" s="45" t="s">
        <v>199</v>
      </c>
      <c r="G215" s="46">
        <v>40287</v>
      </c>
      <c r="H215" s="47" t="s">
        <v>24</v>
      </c>
      <c r="I215" s="48" t="s">
        <v>658</v>
      </c>
      <c r="J215" s="46"/>
      <c r="K215" s="49"/>
      <c r="L215" s="50"/>
      <c r="M215" s="50"/>
      <c r="N215" s="50"/>
      <c r="O215" s="51"/>
      <c r="P215" s="49"/>
      <c r="Q215" s="51"/>
      <c r="R215" s="52"/>
      <c r="S215" s="49"/>
      <c r="T215" s="53"/>
      <c r="U215" s="48"/>
      <c r="V215" s="54"/>
    </row>
    <row r="216" spans="2:25" s="41" customFormat="1" ht="20.25" customHeight="1">
      <c r="C216" s="42">
        <f>+IF(E216&lt;&gt;0,MAX($C$1:C215)+1,"")</f>
        <v>192</v>
      </c>
      <c r="D216" s="43">
        <v>101611011</v>
      </c>
      <c r="E216" s="44" t="s">
        <v>194</v>
      </c>
      <c r="F216" s="45" t="s">
        <v>63</v>
      </c>
      <c r="G216" s="46">
        <v>42689</v>
      </c>
      <c r="H216" s="47" t="s">
        <v>24</v>
      </c>
      <c r="I216" s="48" t="s">
        <v>635</v>
      </c>
      <c r="J216" s="46"/>
      <c r="K216" s="49"/>
      <c r="L216" s="50"/>
      <c r="M216" s="50"/>
      <c r="N216" s="50"/>
      <c r="O216" s="51"/>
      <c r="P216" s="49"/>
      <c r="Q216" s="51"/>
      <c r="R216" s="52"/>
      <c r="S216" s="49"/>
      <c r="T216" s="53"/>
      <c r="U216" s="48"/>
      <c r="V216" s="54"/>
    </row>
    <row r="217" spans="2:25" s="41" customFormat="1" ht="20.25" customHeight="1">
      <c r="C217" s="42">
        <f>+IF(E217&lt;&gt;0,MAX($C$1:C216)+1,"")</f>
        <v>193</v>
      </c>
      <c r="D217" s="43">
        <v>311409028</v>
      </c>
      <c r="E217" s="44" t="s">
        <v>53</v>
      </c>
      <c r="F217" s="45" t="s">
        <v>191</v>
      </c>
      <c r="G217" s="46">
        <v>41898</v>
      </c>
      <c r="H217" s="47" t="s">
        <v>24</v>
      </c>
      <c r="I217" s="48" t="s">
        <v>658</v>
      </c>
      <c r="J217" s="46"/>
      <c r="K217" s="49"/>
      <c r="L217" s="50"/>
      <c r="M217" s="50"/>
      <c r="N217" s="50"/>
      <c r="O217" s="51"/>
      <c r="P217" s="49"/>
      <c r="Q217" s="51"/>
      <c r="R217" s="52"/>
      <c r="S217" s="49"/>
      <c r="T217" s="53"/>
      <c r="U217" s="48"/>
      <c r="V217" s="54"/>
    </row>
    <row r="218" spans="2:25" s="41" customFormat="1" ht="20.25" customHeight="1">
      <c r="C218" s="42">
        <f>+IF(E218&lt;&gt;0,MAX($C$1:C217)+1,"")</f>
        <v>194</v>
      </c>
      <c r="D218" s="43">
        <v>101706011</v>
      </c>
      <c r="E218" s="44" t="s">
        <v>197</v>
      </c>
      <c r="F218" s="45" t="s">
        <v>198</v>
      </c>
      <c r="G218" s="46">
        <v>42898</v>
      </c>
      <c r="H218" s="47" t="s">
        <v>24</v>
      </c>
      <c r="I218" s="48" t="s">
        <v>635</v>
      </c>
      <c r="J218" s="46"/>
      <c r="K218" s="49"/>
      <c r="L218" s="50"/>
      <c r="M218" s="50"/>
      <c r="N218" s="50"/>
      <c r="O218" s="51"/>
      <c r="P218" s="49"/>
      <c r="Q218" s="51"/>
      <c r="R218" s="52"/>
      <c r="S218" s="49"/>
      <c r="T218" s="53"/>
      <c r="U218" s="48"/>
      <c r="V218" s="54"/>
    </row>
    <row r="219" spans="2:25" s="41" customFormat="1" ht="20.25" customHeight="1">
      <c r="B219" s="1"/>
      <c r="C219" s="242" t="s">
        <v>682</v>
      </c>
      <c r="D219" s="243"/>
      <c r="E219" s="244"/>
      <c r="F219" s="245"/>
      <c r="G219" s="246"/>
      <c r="H219" s="244"/>
      <c r="I219" s="245"/>
      <c r="J219" s="246"/>
      <c r="K219" s="32"/>
      <c r="L219" s="246"/>
      <c r="M219" s="243"/>
      <c r="N219" s="243"/>
      <c r="O219" s="246"/>
      <c r="P219" s="32"/>
      <c r="Q219" s="246"/>
      <c r="R219" s="247"/>
      <c r="S219" s="32"/>
      <c r="T219" s="248"/>
      <c r="U219" s="245"/>
      <c r="V219" s="54"/>
      <c r="W219" s="1"/>
      <c r="X219" s="1"/>
      <c r="Y219" s="1"/>
    </row>
    <row r="220" spans="2:25" s="41" customFormat="1" ht="20.25" customHeight="1">
      <c r="C220" s="42">
        <f>+IF(E220&lt;&gt;0,MAX($C$1:C218)+1,"")</f>
        <v>195</v>
      </c>
      <c r="D220" s="43">
        <v>100004003</v>
      </c>
      <c r="E220" s="44" t="s">
        <v>599</v>
      </c>
      <c r="F220" s="45" t="s">
        <v>58</v>
      </c>
      <c r="G220" s="46">
        <v>36617</v>
      </c>
      <c r="H220" s="47" t="s">
        <v>21</v>
      </c>
      <c r="I220" s="48" t="s">
        <v>659</v>
      </c>
      <c r="J220" s="46"/>
      <c r="K220" s="49"/>
      <c r="L220" s="50"/>
      <c r="M220" s="50"/>
      <c r="N220" s="50"/>
      <c r="O220" s="51"/>
      <c r="P220" s="49"/>
      <c r="Q220" s="51"/>
      <c r="R220" s="52"/>
      <c r="S220" s="49"/>
      <c r="T220" s="53"/>
      <c r="U220" s="48"/>
      <c r="V220" s="54"/>
    </row>
    <row r="221" spans="2:25" s="41" customFormat="1" ht="20.25" customHeight="1">
      <c r="C221" s="42">
        <f>+IF(E221&lt;&gt;0,MAX($C$1:C220)+1,"")</f>
        <v>196</v>
      </c>
      <c r="D221" s="43">
        <v>102209033</v>
      </c>
      <c r="E221" s="44" t="s">
        <v>600</v>
      </c>
      <c r="F221" s="45" t="s">
        <v>601</v>
      </c>
      <c r="G221" s="46">
        <v>44827</v>
      </c>
      <c r="H221" s="47" t="s">
        <v>24</v>
      </c>
      <c r="I221" s="48" t="s">
        <v>660</v>
      </c>
      <c r="J221" s="46"/>
      <c r="K221" s="49"/>
      <c r="L221" s="50"/>
      <c r="M221" s="50"/>
      <c r="N221" s="50"/>
      <c r="O221" s="51"/>
      <c r="P221" s="49"/>
      <c r="Q221" s="51"/>
      <c r="R221" s="52"/>
      <c r="S221" s="49"/>
      <c r="T221" s="53"/>
      <c r="U221" s="48"/>
      <c r="V221" s="54"/>
    </row>
    <row r="222" spans="2:25" s="41" customFormat="1" ht="20.25" customHeight="1">
      <c r="C222" s="42">
        <f>+IF(E222&lt;&gt;0,MAX($C$1:C221)+1,"")</f>
        <v>197</v>
      </c>
      <c r="D222" s="43">
        <v>102302001</v>
      </c>
      <c r="E222" s="44" t="s">
        <v>171</v>
      </c>
      <c r="F222" s="45" t="s">
        <v>151</v>
      </c>
      <c r="G222" s="46">
        <v>44963</v>
      </c>
      <c r="H222" s="47" t="s">
        <v>24</v>
      </c>
      <c r="I222" s="48" t="s">
        <v>661</v>
      </c>
      <c r="J222" s="46"/>
      <c r="K222" s="49"/>
      <c r="L222" s="50"/>
      <c r="M222" s="50"/>
      <c r="N222" s="50"/>
      <c r="O222" s="51"/>
      <c r="P222" s="49"/>
      <c r="Q222" s="51"/>
      <c r="R222" s="52"/>
      <c r="S222" s="49"/>
      <c r="T222" s="53"/>
      <c r="U222" s="48"/>
      <c r="V222" s="54"/>
    </row>
    <row r="223" spans="2:25" s="41" customFormat="1" ht="20.25" customHeight="1">
      <c r="B223" s="1"/>
      <c r="C223" s="242" t="s">
        <v>133</v>
      </c>
      <c r="D223" s="243"/>
      <c r="E223" s="244"/>
      <c r="F223" s="245"/>
      <c r="G223" s="246"/>
      <c r="H223" s="244"/>
      <c r="I223" s="245"/>
      <c r="J223" s="246"/>
      <c r="K223" s="32"/>
      <c r="L223" s="246"/>
      <c r="M223" s="243"/>
      <c r="N223" s="243"/>
      <c r="O223" s="246"/>
      <c r="P223" s="32"/>
      <c r="Q223" s="246"/>
      <c r="R223" s="247"/>
      <c r="S223" s="32"/>
      <c r="T223" s="248"/>
      <c r="U223" s="245"/>
      <c r="V223" s="54"/>
      <c r="W223" s="1"/>
      <c r="X223" s="1"/>
      <c r="Y223" s="1"/>
    </row>
    <row r="224" spans="2:25" s="41" customFormat="1" ht="20.25" customHeight="1">
      <c r="C224" s="42">
        <f>+IF(E224&lt;&gt;0,MAX($C$1:C222)+1,"")</f>
        <v>198</v>
      </c>
      <c r="D224" s="43">
        <v>100807002</v>
      </c>
      <c r="E224" s="44" t="s">
        <v>134</v>
      </c>
      <c r="F224" s="45" t="s">
        <v>106</v>
      </c>
      <c r="G224" s="46">
        <v>39636</v>
      </c>
      <c r="H224" s="47" t="s">
        <v>52</v>
      </c>
      <c r="I224" s="48" t="s">
        <v>133</v>
      </c>
      <c r="J224" s="46"/>
      <c r="K224" s="49"/>
      <c r="L224" s="50"/>
      <c r="M224" s="50"/>
      <c r="N224" s="50"/>
      <c r="O224" s="51"/>
      <c r="P224" s="49"/>
      <c r="Q224" s="51"/>
      <c r="R224" s="52"/>
      <c r="S224" s="49"/>
      <c r="T224" s="53"/>
      <c r="U224" s="48"/>
      <c r="V224" s="54"/>
    </row>
    <row r="225" spans="3:22" s="41" customFormat="1" ht="20.25" customHeight="1">
      <c r="C225" s="42">
        <f>+IF(E225&lt;&gt;0,MAX($C$1:C224)+1,"")</f>
        <v>199</v>
      </c>
      <c r="D225" s="43">
        <v>100806004</v>
      </c>
      <c r="E225" s="44" t="s">
        <v>135</v>
      </c>
      <c r="F225" s="45" t="s">
        <v>77</v>
      </c>
      <c r="G225" s="46">
        <v>39617</v>
      </c>
      <c r="H225" s="47" t="s">
        <v>571</v>
      </c>
      <c r="I225" s="48" t="s">
        <v>629</v>
      </c>
      <c r="J225" s="46"/>
      <c r="K225" s="49"/>
      <c r="L225" s="50"/>
      <c r="M225" s="50"/>
      <c r="N225" s="50"/>
      <c r="O225" s="51"/>
      <c r="P225" s="49"/>
      <c r="Q225" s="51"/>
      <c r="R225" s="52"/>
      <c r="S225" s="49"/>
      <c r="T225" s="53"/>
      <c r="U225" s="48"/>
      <c r="V225" s="54"/>
    </row>
    <row r="226" spans="3:22" s="41" customFormat="1" ht="20.25" customHeight="1">
      <c r="C226" s="42">
        <f>+IF(E226&lt;&gt;0,MAX($C$1:C225)+1,"")</f>
        <v>200</v>
      </c>
      <c r="D226" s="43">
        <v>101205003</v>
      </c>
      <c r="E226" s="44" t="s">
        <v>146</v>
      </c>
      <c r="F226" s="45" t="s">
        <v>83</v>
      </c>
      <c r="G226" s="46">
        <v>41036</v>
      </c>
      <c r="H226" s="47" t="s">
        <v>24</v>
      </c>
      <c r="I226" s="48" t="s">
        <v>133</v>
      </c>
      <c r="J226" s="46"/>
      <c r="K226" s="49"/>
      <c r="L226" s="50"/>
      <c r="M226" s="50"/>
      <c r="N226" s="50"/>
      <c r="O226" s="51"/>
      <c r="P226" s="49"/>
      <c r="Q226" s="51"/>
      <c r="R226" s="52"/>
      <c r="S226" s="49"/>
      <c r="T226" s="53"/>
      <c r="U226" s="48"/>
      <c r="V226" s="54"/>
    </row>
    <row r="227" spans="3:22" s="41" customFormat="1" ht="20.25" customHeight="1">
      <c r="C227" s="42">
        <f>+IF(E227&lt;&gt;0,MAX($C$1:C226)+1,"")</f>
        <v>201</v>
      </c>
      <c r="D227" s="43">
        <v>102105067</v>
      </c>
      <c r="E227" s="44" t="s">
        <v>136</v>
      </c>
      <c r="F227" s="45" t="s">
        <v>92</v>
      </c>
      <c r="G227" s="46">
        <v>44336</v>
      </c>
      <c r="H227" s="47" t="s">
        <v>24</v>
      </c>
      <c r="I227" s="48" t="s">
        <v>133</v>
      </c>
      <c r="J227" s="46"/>
      <c r="K227" s="49"/>
      <c r="L227" s="50"/>
      <c r="M227" s="50"/>
      <c r="N227" s="50"/>
      <c r="O227" s="51"/>
      <c r="P227" s="49"/>
      <c r="Q227" s="51"/>
      <c r="R227" s="52"/>
      <c r="S227" s="49"/>
      <c r="T227" s="53"/>
      <c r="U227" s="48"/>
      <c r="V227" s="54"/>
    </row>
    <row r="228" spans="3:22" s="41" customFormat="1" ht="20.25" customHeight="1">
      <c r="C228" s="42">
        <f>+IF(E228&lt;&gt;0,MAX($C$1:C227)+1,"")</f>
        <v>202</v>
      </c>
      <c r="D228" s="43">
        <v>102208008</v>
      </c>
      <c r="E228" s="44" t="s">
        <v>137</v>
      </c>
      <c r="F228" s="45" t="s">
        <v>95</v>
      </c>
      <c r="G228" s="46">
        <v>44774</v>
      </c>
      <c r="H228" s="47" t="s">
        <v>24</v>
      </c>
      <c r="I228" s="48" t="s">
        <v>133</v>
      </c>
      <c r="J228" s="46"/>
      <c r="K228" s="49"/>
      <c r="L228" s="50"/>
      <c r="M228" s="50"/>
      <c r="N228" s="50"/>
      <c r="O228" s="51"/>
      <c r="P228" s="49"/>
      <c r="Q228" s="51"/>
      <c r="R228" s="52"/>
      <c r="S228" s="49"/>
      <c r="T228" s="53"/>
      <c r="U228" s="48"/>
      <c r="V228" s="54"/>
    </row>
    <row r="229" spans="3:22" s="41" customFormat="1" ht="20.25" customHeight="1">
      <c r="C229" s="42">
        <f>+IF(E229&lt;&gt;0,MAX($C$1:C228)+1,"")</f>
        <v>203</v>
      </c>
      <c r="D229" s="43">
        <v>102511001</v>
      </c>
      <c r="E229" s="44" t="s">
        <v>602</v>
      </c>
      <c r="F229" s="45" t="s">
        <v>20</v>
      </c>
      <c r="G229" s="46">
        <v>45962</v>
      </c>
      <c r="H229" s="47" t="s">
        <v>24</v>
      </c>
      <c r="I229" s="48" t="s">
        <v>133</v>
      </c>
      <c r="J229" s="46"/>
      <c r="K229" s="49"/>
      <c r="L229" s="50"/>
      <c r="M229" s="50"/>
      <c r="N229" s="50"/>
      <c r="O229" s="51"/>
      <c r="P229" s="49"/>
      <c r="Q229" s="51"/>
      <c r="R229" s="52"/>
      <c r="S229" s="49"/>
      <c r="T229" s="53"/>
      <c r="U229" s="48"/>
      <c r="V229" s="54"/>
    </row>
    <row r="230" spans="3:22" s="41" customFormat="1" ht="20.25" customHeight="1">
      <c r="C230" s="42">
        <f>+IF(E230&lt;&gt;0,MAX($C$1:C229)+1,"")</f>
        <v>204</v>
      </c>
      <c r="D230" s="43">
        <v>101906025</v>
      </c>
      <c r="E230" s="44" t="s">
        <v>139</v>
      </c>
      <c r="F230" s="45" t="s">
        <v>140</v>
      </c>
      <c r="G230" s="46">
        <v>43633</v>
      </c>
      <c r="H230" s="47" t="s">
        <v>24</v>
      </c>
      <c r="I230" s="48" t="s">
        <v>133</v>
      </c>
      <c r="J230" s="46"/>
      <c r="K230" s="49"/>
      <c r="L230" s="50"/>
      <c r="M230" s="50"/>
      <c r="N230" s="50"/>
      <c r="O230" s="51"/>
      <c r="P230" s="49"/>
      <c r="Q230" s="51"/>
      <c r="R230" s="52"/>
      <c r="S230" s="49"/>
      <c r="T230" s="53"/>
      <c r="U230" s="48"/>
      <c r="V230" s="54"/>
    </row>
    <row r="231" spans="3:22" s="41" customFormat="1" ht="20.25" customHeight="1">
      <c r="C231" s="42">
        <f>+IF(E231&lt;&gt;0,MAX($C$1:C230)+1,"")</f>
        <v>205</v>
      </c>
      <c r="D231" s="43">
        <v>102304045</v>
      </c>
      <c r="E231" s="44" t="s">
        <v>53</v>
      </c>
      <c r="F231" s="45" t="s">
        <v>74</v>
      </c>
      <c r="G231" s="46">
        <v>45035</v>
      </c>
      <c r="H231" s="47" t="s">
        <v>24</v>
      </c>
      <c r="I231" s="48" t="s">
        <v>133</v>
      </c>
      <c r="J231" s="46"/>
      <c r="K231" s="49"/>
      <c r="L231" s="50"/>
      <c r="M231" s="50"/>
      <c r="N231" s="50"/>
      <c r="O231" s="51"/>
      <c r="P231" s="49"/>
      <c r="Q231" s="51"/>
      <c r="R231" s="52"/>
      <c r="S231" s="49"/>
      <c r="T231" s="53"/>
      <c r="U231" s="48"/>
      <c r="V231" s="54"/>
    </row>
    <row r="232" spans="3:22" s="41" customFormat="1" ht="20.25" customHeight="1">
      <c r="C232" s="42">
        <f>+IF(E232&lt;&gt;0,MAX($C$1:C231)+1,"")</f>
        <v>206</v>
      </c>
      <c r="D232" s="43">
        <v>102407021</v>
      </c>
      <c r="E232" s="44" t="s">
        <v>141</v>
      </c>
      <c r="F232" s="45" t="s">
        <v>142</v>
      </c>
      <c r="G232" s="46">
        <v>45482</v>
      </c>
      <c r="H232" s="47" t="s">
        <v>24</v>
      </c>
      <c r="I232" s="48" t="s">
        <v>133</v>
      </c>
      <c r="J232" s="46"/>
      <c r="K232" s="49"/>
      <c r="L232" s="50"/>
      <c r="M232" s="50"/>
      <c r="N232" s="50"/>
      <c r="O232" s="51"/>
      <c r="P232" s="49"/>
      <c r="Q232" s="51"/>
      <c r="R232" s="52"/>
      <c r="S232" s="49"/>
      <c r="T232" s="53"/>
      <c r="U232" s="48"/>
      <c r="V232" s="54"/>
    </row>
    <row r="233" spans="3:22" s="41" customFormat="1" ht="20.25" customHeight="1">
      <c r="C233" s="42">
        <f>+IF(E233&lt;&gt;0,MAX($C$1:C232)+1,"")</f>
        <v>207</v>
      </c>
      <c r="D233" s="43">
        <v>102410011</v>
      </c>
      <c r="E233" s="44" t="s">
        <v>143</v>
      </c>
      <c r="F233" s="45" t="s">
        <v>144</v>
      </c>
      <c r="G233" s="46">
        <v>45566</v>
      </c>
      <c r="H233" s="47" t="s">
        <v>24</v>
      </c>
      <c r="I233" s="48" t="s">
        <v>133</v>
      </c>
      <c r="J233" s="46"/>
      <c r="K233" s="49"/>
      <c r="L233" s="50"/>
      <c r="M233" s="50"/>
      <c r="N233" s="50"/>
      <c r="O233" s="51"/>
      <c r="P233" s="49"/>
      <c r="Q233" s="51"/>
      <c r="R233" s="52"/>
      <c r="S233" s="49"/>
      <c r="T233" s="53"/>
      <c r="U233" s="48"/>
      <c r="V233" s="54"/>
    </row>
    <row r="234" spans="3:22" s="41" customFormat="1" ht="20.25" customHeight="1">
      <c r="C234" s="42">
        <f>+IF(E234&lt;&gt;0,MAX($C$1:C233)+1,"")</f>
        <v>208</v>
      </c>
      <c r="D234" s="43">
        <v>100805002</v>
      </c>
      <c r="E234" s="44" t="s">
        <v>145</v>
      </c>
      <c r="F234" s="45" t="s">
        <v>79</v>
      </c>
      <c r="G234" s="46">
        <v>39584</v>
      </c>
      <c r="H234" s="47" t="s">
        <v>31</v>
      </c>
      <c r="I234" s="48" t="s">
        <v>133</v>
      </c>
      <c r="J234" s="46"/>
      <c r="K234" s="49"/>
      <c r="L234" s="50"/>
      <c r="M234" s="50"/>
      <c r="N234" s="50"/>
      <c r="O234" s="51"/>
      <c r="P234" s="49"/>
      <c r="Q234" s="51"/>
      <c r="R234" s="52"/>
      <c r="S234" s="49"/>
      <c r="T234" s="53"/>
      <c r="U234" s="48"/>
      <c r="V234" s="54"/>
    </row>
    <row r="235" spans="3:22" s="41" customFormat="1" ht="20.25" customHeight="1">
      <c r="C235" s="42">
        <f>+IF(E235&lt;&gt;0,MAX($C$1:C234)+1,"")</f>
        <v>209</v>
      </c>
      <c r="D235" s="43">
        <v>101308010</v>
      </c>
      <c r="E235" s="44" t="s">
        <v>147</v>
      </c>
      <c r="F235" s="45" t="s">
        <v>148</v>
      </c>
      <c r="G235" s="46">
        <v>41512</v>
      </c>
      <c r="H235" s="47" t="s">
        <v>24</v>
      </c>
      <c r="I235" s="48" t="s">
        <v>133</v>
      </c>
      <c r="J235" s="46"/>
      <c r="K235" s="49"/>
      <c r="L235" s="50"/>
      <c r="M235" s="50"/>
      <c r="N235" s="50"/>
      <c r="O235" s="51"/>
      <c r="P235" s="49"/>
      <c r="Q235" s="51"/>
      <c r="R235" s="52"/>
      <c r="S235" s="49"/>
      <c r="T235" s="53"/>
      <c r="U235" s="48"/>
      <c r="V235" s="54"/>
    </row>
    <row r="236" spans="3:22" s="41" customFormat="1" ht="20.25" customHeight="1">
      <c r="C236" s="42">
        <f>+IF(E236&lt;&gt;0,MAX($C$1:C235)+1,"")</f>
        <v>210</v>
      </c>
      <c r="D236" s="43">
        <v>101504008</v>
      </c>
      <c r="E236" s="44" t="s">
        <v>149</v>
      </c>
      <c r="F236" s="45" t="s">
        <v>110</v>
      </c>
      <c r="G236" s="46">
        <v>42107</v>
      </c>
      <c r="H236" s="47" t="s">
        <v>24</v>
      </c>
      <c r="I236" s="48" t="s">
        <v>133</v>
      </c>
      <c r="J236" s="46"/>
      <c r="K236" s="49"/>
      <c r="L236" s="50"/>
      <c r="M236" s="50"/>
      <c r="N236" s="50"/>
      <c r="O236" s="51"/>
      <c r="P236" s="49"/>
      <c r="Q236" s="51"/>
      <c r="R236" s="52"/>
      <c r="S236" s="49"/>
      <c r="T236" s="53"/>
      <c r="U236" s="48"/>
      <c r="V236" s="54"/>
    </row>
    <row r="237" spans="3:22" s="41" customFormat="1" ht="20.25" customHeight="1">
      <c r="C237" s="42">
        <f>+IF(E237&lt;&gt;0,MAX($C$1:C236)+1,"")</f>
        <v>211</v>
      </c>
      <c r="D237" s="43">
        <v>102406023</v>
      </c>
      <c r="E237" s="44" t="s">
        <v>150</v>
      </c>
      <c r="F237" s="45" t="s">
        <v>58</v>
      </c>
      <c r="G237" s="46">
        <v>45457</v>
      </c>
      <c r="H237" s="47" t="s">
        <v>24</v>
      </c>
      <c r="I237" s="48" t="s">
        <v>133</v>
      </c>
      <c r="J237" s="46"/>
      <c r="K237" s="49"/>
      <c r="L237" s="50"/>
      <c r="M237" s="50"/>
      <c r="N237" s="50"/>
      <c r="O237" s="51"/>
      <c r="P237" s="49"/>
      <c r="Q237" s="51"/>
      <c r="R237" s="52"/>
      <c r="S237" s="49"/>
      <c r="T237" s="53"/>
      <c r="U237" s="48"/>
      <c r="V237" s="54"/>
    </row>
    <row r="238" spans="3:22" s="41" customFormat="1" ht="20.25" customHeight="1">
      <c r="C238" s="42">
        <f>+IF(E238&lt;&gt;0,MAX($C$1:C237)+1,"")</f>
        <v>212</v>
      </c>
      <c r="D238" s="43">
        <v>102304044</v>
      </c>
      <c r="E238" s="44" t="s">
        <v>154</v>
      </c>
      <c r="F238" s="45" t="s">
        <v>155</v>
      </c>
      <c r="G238" s="46">
        <v>45035</v>
      </c>
      <c r="H238" s="47" t="s">
        <v>24</v>
      </c>
      <c r="I238" s="48" t="s">
        <v>133</v>
      </c>
      <c r="J238" s="46"/>
      <c r="K238" s="49"/>
      <c r="L238" s="50"/>
      <c r="M238" s="50"/>
      <c r="N238" s="50"/>
      <c r="O238" s="51"/>
      <c r="P238" s="49"/>
      <c r="Q238" s="51"/>
      <c r="R238" s="52"/>
      <c r="S238" s="49"/>
      <c r="T238" s="53"/>
      <c r="U238" s="48"/>
      <c r="V238" s="54"/>
    </row>
    <row r="239" spans="3:22" s="41" customFormat="1" ht="20.25" customHeight="1">
      <c r="C239" s="42">
        <f>+IF(E239&lt;&gt;0,MAX($C$1:C238)+1,"")</f>
        <v>213</v>
      </c>
      <c r="D239" s="43">
        <v>102202039</v>
      </c>
      <c r="E239" s="44" t="s">
        <v>153</v>
      </c>
      <c r="F239" s="45" t="s">
        <v>99</v>
      </c>
      <c r="G239" s="46">
        <v>44606</v>
      </c>
      <c r="H239" s="47" t="s">
        <v>24</v>
      </c>
      <c r="I239" s="48" t="s">
        <v>133</v>
      </c>
      <c r="J239" s="46"/>
      <c r="K239" s="49"/>
      <c r="L239" s="50"/>
      <c r="M239" s="50"/>
      <c r="N239" s="50"/>
      <c r="O239" s="51"/>
      <c r="P239" s="49"/>
      <c r="Q239" s="51"/>
      <c r="R239" s="52"/>
      <c r="S239" s="49"/>
      <c r="T239" s="53"/>
      <c r="U239" s="48"/>
      <c r="V239" s="54"/>
    </row>
    <row r="240" spans="3:22" s="41" customFormat="1" ht="20.25" customHeight="1">
      <c r="C240" s="42">
        <f>+IF(E240&lt;&gt;0,MAX($C$1:C239)+1,"")</f>
        <v>214</v>
      </c>
      <c r="D240" s="43">
        <v>101908010</v>
      </c>
      <c r="E240" s="44" t="s">
        <v>152</v>
      </c>
      <c r="F240" s="45" t="s">
        <v>99</v>
      </c>
      <c r="G240" s="46">
        <v>43682</v>
      </c>
      <c r="H240" s="47" t="s">
        <v>24</v>
      </c>
      <c r="I240" s="48" t="s">
        <v>133</v>
      </c>
      <c r="J240" s="46"/>
      <c r="K240" s="49"/>
      <c r="L240" s="50"/>
      <c r="M240" s="50"/>
      <c r="N240" s="50"/>
      <c r="O240" s="51"/>
      <c r="P240" s="49"/>
      <c r="Q240" s="51"/>
      <c r="R240" s="52"/>
      <c r="S240" s="49"/>
      <c r="T240" s="53"/>
      <c r="U240" s="48"/>
      <c r="V240" s="54"/>
    </row>
    <row r="241" spans="3:22" s="41" customFormat="1" ht="20.25" customHeight="1">
      <c r="C241" s="42">
        <f>+IF(E241&lt;&gt;0,MAX($C$1:C240)+1,"")</f>
        <v>215</v>
      </c>
      <c r="D241" s="43">
        <v>102510006</v>
      </c>
      <c r="E241" s="44" t="s">
        <v>603</v>
      </c>
      <c r="F241" s="45" t="s">
        <v>322</v>
      </c>
      <c r="G241" s="46">
        <v>45939</v>
      </c>
      <c r="H241" s="47" t="s">
        <v>24</v>
      </c>
      <c r="I241" s="48" t="s">
        <v>133</v>
      </c>
      <c r="J241" s="46"/>
      <c r="K241" s="49"/>
      <c r="L241" s="50"/>
      <c r="M241" s="50"/>
      <c r="N241" s="50"/>
      <c r="O241" s="51"/>
      <c r="P241" s="49"/>
      <c r="Q241" s="51"/>
      <c r="R241" s="52"/>
      <c r="S241" s="49"/>
      <c r="T241" s="53"/>
      <c r="U241" s="48"/>
      <c r="V241" s="54"/>
    </row>
    <row r="242" spans="3:22" s="41" customFormat="1" ht="20.25" customHeight="1">
      <c r="C242" s="42">
        <f>+IF(E242&lt;&gt;0,MAX($C$1:C241)+1,"")</f>
        <v>216</v>
      </c>
      <c r="D242" s="43">
        <v>102510007</v>
      </c>
      <c r="E242" s="44" t="s">
        <v>604</v>
      </c>
      <c r="F242" s="45" t="s">
        <v>169</v>
      </c>
      <c r="G242" s="46">
        <v>45939</v>
      </c>
      <c r="H242" s="47" t="s">
        <v>24</v>
      </c>
      <c r="I242" s="48" t="s">
        <v>133</v>
      </c>
      <c r="J242" s="46"/>
      <c r="K242" s="49"/>
      <c r="L242" s="50"/>
      <c r="M242" s="50"/>
      <c r="N242" s="50"/>
      <c r="O242" s="51"/>
      <c r="P242" s="49"/>
      <c r="Q242" s="51"/>
      <c r="R242" s="52"/>
      <c r="S242" s="49"/>
      <c r="T242" s="53"/>
      <c r="U242" s="48"/>
      <c r="V242" s="54"/>
    </row>
    <row r="243" spans="3:22" s="41" customFormat="1" ht="20.25" customHeight="1">
      <c r="C243" s="42">
        <f>+IF(E243&lt;&gt;0,MAX($C$1:C242)+1,"")</f>
        <v>217</v>
      </c>
      <c r="D243" s="43">
        <v>102506001</v>
      </c>
      <c r="E243" s="44" t="s">
        <v>605</v>
      </c>
      <c r="F243" s="45" t="s">
        <v>198</v>
      </c>
      <c r="G243" s="46">
        <v>45810</v>
      </c>
      <c r="H243" s="47" t="s">
        <v>24</v>
      </c>
      <c r="I243" s="48" t="s">
        <v>133</v>
      </c>
      <c r="J243" s="46"/>
      <c r="K243" s="49"/>
      <c r="L243" s="50"/>
      <c r="M243" s="50"/>
      <c r="N243" s="50"/>
      <c r="O243" s="51"/>
      <c r="P243" s="49"/>
      <c r="Q243" s="51"/>
      <c r="R243" s="52"/>
      <c r="S243" s="49"/>
      <c r="T243" s="53"/>
      <c r="U243" s="48"/>
      <c r="V243" s="54"/>
    </row>
    <row r="244" spans="3:22" s="41" customFormat="1" ht="20.25" customHeight="1">
      <c r="C244" s="42">
        <f>+IF(E244&lt;&gt;0,MAX($C$1:C243)+1,"")</f>
        <v>218</v>
      </c>
      <c r="D244" s="43">
        <v>102503024</v>
      </c>
      <c r="E244" s="44" t="s">
        <v>606</v>
      </c>
      <c r="F244" s="45" t="s">
        <v>77</v>
      </c>
      <c r="G244" s="46">
        <v>45724</v>
      </c>
      <c r="H244" s="47" t="s">
        <v>24</v>
      </c>
      <c r="I244" s="48" t="s">
        <v>133</v>
      </c>
      <c r="J244" s="46"/>
      <c r="K244" s="49"/>
      <c r="L244" s="50"/>
      <c r="M244" s="50"/>
      <c r="N244" s="50"/>
      <c r="O244" s="51"/>
      <c r="P244" s="49"/>
      <c r="Q244" s="51"/>
      <c r="R244" s="52"/>
      <c r="S244" s="49"/>
      <c r="T244" s="53"/>
      <c r="U244" s="48"/>
      <c r="V244" s="54"/>
    </row>
    <row r="245" spans="3:22" s="41" customFormat="1" ht="20.25" customHeight="1">
      <c r="C245" s="42">
        <f>+IF(E245&lt;&gt;0,MAX($C$1:C244)+1,"")</f>
        <v>219</v>
      </c>
      <c r="D245" s="43">
        <v>301006001</v>
      </c>
      <c r="E245" s="44" t="s">
        <v>157</v>
      </c>
      <c r="F245" s="45" t="s">
        <v>87</v>
      </c>
      <c r="G245" s="46">
        <v>40330</v>
      </c>
      <c r="H245" s="47" t="s">
        <v>31</v>
      </c>
      <c r="I245" s="48" t="s">
        <v>133</v>
      </c>
      <c r="J245" s="46"/>
      <c r="K245" s="49"/>
      <c r="L245" s="50"/>
      <c r="M245" s="50"/>
      <c r="N245" s="50"/>
      <c r="O245" s="51"/>
      <c r="P245" s="49"/>
      <c r="Q245" s="51"/>
      <c r="R245" s="52"/>
      <c r="S245" s="49"/>
      <c r="T245" s="53"/>
      <c r="U245" s="48"/>
      <c r="V245" s="54"/>
    </row>
    <row r="246" spans="3:22" s="41" customFormat="1" ht="20.25" customHeight="1">
      <c r="C246" s="42">
        <f>+IF(E246&lt;&gt;0,MAX($C$1:C245)+1,"")</f>
        <v>220</v>
      </c>
      <c r="D246" s="43">
        <v>301403009</v>
      </c>
      <c r="E246" s="44" t="s">
        <v>158</v>
      </c>
      <c r="F246" s="45" t="s">
        <v>159</v>
      </c>
      <c r="G246" s="46">
        <v>41706</v>
      </c>
      <c r="H246" s="47" t="s">
        <v>24</v>
      </c>
      <c r="I246" s="48" t="s">
        <v>133</v>
      </c>
      <c r="J246" s="46"/>
      <c r="K246" s="49"/>
      <c r="L246" s="50"/>
      <c r="M246" s="50"/>
      <c r="N246" s="50"/>
      <c r="O246" s="51"/>
      <c r="P246" s="49"/>
      <c r="Q246" s="51"/>
      <c r="R246" s="52"/>
      <c r="S246" s="49"/>
      <c r="T246" s="53"/>
      <c r="U246" s="48"/>
      <c r="V246" s="54"/>
    </row>
    <row r="247" spans="3:22" s="41" customFormat="1" ht="20.25" customHeight="1">
      <c r="C247" s="42">
        <f>+IF(E247&lt;&gt;0,MAX($C$1:C246)+1,"")</f>
        <v>221</v>
      </c>
      <c r="D247" s="43">
        <v>101903071</v>
      </c>
      <c r="E247" s="44" t="s">
        <v>160</v>
      </c>
      <c r="F247" s="45" t="s">
        <v>51</v>
      </c>
      <c r="G247" s="46">
        <v>43549</v>
      </c>
      <c r="H247" s="47" t="s">
        <v>24</v>
      </c>
      <c r="I247" s="48" t="s">
        <v>133</v>
      </c>
      <c r="J247" s="46"/>
      <c r="K247" s="49"/>
      <c r="L247" s="50"/>
      <c r="M247" s="50"/>
      <c r="N247" s="50"/>
      <c r="O247" s="51"/>
      <c r="P247" s="49"/>
      <c r="Q247" s="51"/>
      <c r="R247" s="52"/>
      <c r="S247" s="49"/>
      <c r="T247" s="53"/>
      <c r="U247" s="48"/>
      <c r="V247" s="54"/>
    </row>
    <row r="248" spans="3:22" s="41" customFormat="1" ht="20.25" customHeight="1">
      <c r="C248" s="42">
        <f>+IF(E248&lt;&gt;0,MAX($C$1:C247)+1,"")</f>
        <v>222</v>
      </c>
      <c r="D248" s="43">
        <v>301510007</v>
      </c>
      <c r="E248" s="44" t="s">
        <v>161</v>
      </c>
      <c r="F248" s="45" t="s">
        <v>97</v>
      </c>
      <c r="G248" s="46">
        <v>42279</v>
      </c>
      <c r="H248" s="47" t="s">
        <v>24</v>
      </c>
      <c r="I248" s="48" t="s">
        <v>133</v>
      </c>
      <c r="J248" s="46"/>
      <c r="K248" s="49"/>
      <c r="L248" s="50"/>
      <c r="M248" s="50"/>
      <c r="N248" s="50"/>
      <c r="O248" s="51"/>
      <c r="P248" s="49"/>
      <c r="Q248" s="51"/>
      <c r="R248" s="52"/>
      <c r="S248" s="49"/>
      <c r="T248" s="53"/>
      <c r="U248" s="48"/>
      <c r="V248" s="54"/>
    </row>
    <row r="249" spans="3:22" s="41" customFormat="1" ht="20.25" customHeight="1">
      <c r="C249" s="42">
        <f>+IF(E249&lt;&gt;0,MAX($C$1:C248)+1,"")</f>
        <v>223</v>
      </c>
      <c r="D249" s="43">
        <v>102210002</v>
      </c>
      <c r="E249" s="44" t="s">
        <v>161</v>
      </c>
      <c r="F249" s="45" t="s">
        <v>113</v>
      </c>
      <c r="G249" s="46">
        <v>44835</v>
      </c>
      <c r="H249" s="47" t="s">
        <v>24</v>
      </c>
      <c r="I249" s="48" t="s">
        <v>133</v>
      </c>
      <c r="J249" s="46"/>
      <c r="K249" s="49"/>
      <c r="L249" s="50"/>
      <c r="M249" s="50"/>
      <c r="N249" s="50"/>
      <c r="O249" s="51"/>
      <c r="P249" s="49"/>
      <c r="Q249" s="51"/>
      <c r="R249" s="52"/>
      <c r="S249" s="49"/>
      <c r="T249" s="53"/>
      <c r="U249" s="48"/>
      <c r="V249" s="54"/>
    </row>
    <row r="250" spans="3:22" s="41" customFormat="1" ht="20.25" customHeight="1">
      <c r="C250" s="42">
        <f>+IF(E250&lt;&gt;0,MAX($C$1:C249)+1,"")</f>
        <v>224</v>
      </c>
      <c r="D250" s="43">
        <v>102203138</v>
      </c>
      <c r="E250" s="44" t="s">
        <v>166</v>
      </c>
      <c r="F250" s="45" t="s">
        <v>83</v>
      </c>
      <c r="G250" s="46">
        <v>44644</v>
      </c>
      <c r="H250" s="47" t="s">
        <v>24</v>
      </c>
      <c r="I250" s="48" t="s">
        <v>133</v>
      </c>
      <c r="J250" s="46"/>
      <c r="K250" s="49"/>
      <c r="L250" s="50"/>
      <c r="M250" s="50"/>
      <c r="N250" s="50"/>
      <c r="O250" s="51"/>
      <c r="P250" s="49"/>
      <c r="Q250" s="51"/>
      <c r="R250" s="52"/>
      <c r="S250" s="49"/>
      <c r="T250" s="53"/>
      <c r="U250" s="48"/>
      <c r="V250" s="54"/>
    </row>
    <row r="251" spans="3:22" s="41" customFormat="1" ht="20.25" customHeight="1">
      <c r="C251" s="42">
        <f>+IF(E251&lt;&gt;0,MAX($C$1:C250)+1,"")</f>
        <v>225</v>
      </c>
      <c r="D251" s="43">
        <v>301308012</v>
      </c>
      <c r="E251" s="44" t="s">
        <v>162</v>
      </c>
      <c r="F251" s="45" t="s">
        <v>163</v>
      </c>
      <c r="G251" s="46">
        <v>41501</v>
      </c>
      <c r="H251" s="47" t="s">
        <v>24</v>
      </c>
      <c r="I251" s="48" t="s">
        <v>133</v>
      </c>
      <c r="J251" s="46"/>
      <c r="K251" s="49"/>
      <c r="L251" s="50"/>
      <c r="M251" s="50"/>
      <c r="N251" s="50"/>
      <c r="O251" s="51"/>
      <c r="P251" s="49"/>
      <c r="Q251" s="51"/>
      <c r="R251" s="52"/>
      <c r="S251" s="49"/>
      <c r="T251" s="53"/>
      <c r="U251" s="48"/>
      <c r="V251" s="54"/>
    </row>
    <row r="252" spans="3:22" s="41" customFormat="1" ht="20.25" customHeight="1">
      <c r="C252" s="42">
        <f>+IF(E252&lt;&gt;0,MAX($C$1:C251)+1,"")</f>
        <v>226</v>
      </c>
      <c r="D252" s="43">
        <v>101904028</v>
      </c>
      <c r="E252" s="44" t="s">
        <v>164</v>
      </c>
      <c r="F252" s="45" t="s">
        <v>151</v>
      </c>
      <c r="G252" s="46">
        <v>43563</v>
      </c>
      <c r="H252" s="47" t="s">
        <v>24</v>
      </c>
      <c r="I252" s="48" t="s">
        <v>133</v>
      </c>
      <c r="J252" s="46"/>
      <c r="K252" s="49"/>
      <c r="L252" s="50"/>
      <c r="M252" s="50"/>
      <c r="N252" s="50"/>
      <c r="O252" s="51"/>
      <c r="P252" s="49"/>
      <c r="Q252" s="51"/>
      <c r="R252" s="52"/>
      <c r="S252" s="49"/>
      <c r="T252" s="53"/>
      <c r="U252" s="48"/>
      <c r="V252" s="54"/>
    </row>
    <row r="253" spans="3:22" s="41" customFormat="1" ht="20.25" customHeight="1">
      <c r="C253" s="42">
        <f>+IF(E253&lt;&gt;0,MAX($C$1:C252)+1,"")</f>
        <v>227</v>
      </c>
      <c r="D253" s="43">
        <v>101910052</v>
      </c>
      <c r="E253" s="44" t="s">
        <v>84</v>
      </c>
      <c r="F253" s="45" t="s">
        <v>165</v>
      </c>
      <c r="G253" s="46">
        <v>43752</v>
      </c>
      <c r="H253" s="47" t="s">
        <v>24</v>
      </c>
      <c r="I253" s="48" t="s">
        <v>133</v>
      </c>
      <c r="J253" s="46"/>
      <c r="K253" s="49"/>
      <c r="L253" s="50"/>
      <c r="M253" s="50"/>
      <c r="N253" s="50"/>
      <c r="O253" s="51"/>
      <c r="P253" s="49"/>
      <c r="Q253" s="51"/>
      <c r="R253" s="52"/>
      <c r="S253" s="49"/>
      <c r="T253" s="53"/>
      <c r="U253" s="48"/>
      <c r="V253" s="54"/>
    </row>
    <row r="254" spans="3:22" s="41" customFormat="1" ht="20.25" customHeight="1">
      <c r="C254" s="42">
        <f>+IF(E254&lt;&gt;0,MAX($C$1:C253)+1,"")</f>
        <v>228</v>
      </c>
      <c r="D254" s="43">
        <v>301208003</v>
      </c>
      <c r="E254" s="44" t="s">
        <v>167</v>
      </c>
      <c r="F254" s="45" t="s">
        <v>151</v>
      </c>
      <c r="G254" s="46">
        <v>41127</v>
      </c>
      <c r="H254" s="47" t="s">
        <v>31</v>
      </c>
      <c r="I254" s="48" t="s">
        <v>133</v>
      </c>
      <c r="J254" s="46"/>
      <c r="K254" s="49"/>
      <c r="L254" s="50"/>
      <c r="M254" s="50"/>
      <c r="N254" s="50"/>
      <c r="O254" s="51"/>
      <c r="P254" s="49"/>
      <c r="Q254" s="51"/>
      <c r="R254" s="52"/>
      <c r="S254" s="49"/>
      <c r="T254" s="53"/>
      <c r="U254" s="48"/>
      <c r="V254" s="54"/>
    </row>
    <row r="255" spans="3:22" s="41" customFormat="1" ht="20.25" customHeight="1">
      <c r="C255" s="42">
        <f>+IF(E255&lt;&gt;0,MAX($C$1:C254)+1,"")</f>
        <v>229</v>
      </c>
      <c r="D255" s="43">
        <v>101208001</v>
      </c>
      <c r="E255" s="44" t="s">
        <v>66</v>
      </c>
      <c r="F255" s="45" t="s">
        <v>20</v>
      </c>
      <c r="G255" s="46">
        <v>41122</v>
      </c>
      <c r="H255" s="47" t="s">
        <v>24</v>
      </c>
      <c r="I255" s="48" t="s">
        <v>133</v>
      </c>
      <c r="J255" s="46"/>
      <c r="K255" s="49"/>
      <c r="L255" s="50"/>
      <c r="M255" s="50"/>
      <c r="N255" s="50"/>
      <c r="O255" s="51"/>
      <c r="P255" s="49"/>
      <c r="Q255" s="51"/>
      <c r="R255" s="52"/>
      <c r="S255" s="49"/>
      <c r="T255" s="53"/>
      <c r="U255" s="48"/>
      <c r="V255" s="54"/>
    </row>
    <row r="256" spans="3:22" s="41" customFormat="1" ht="20.25" customHeight="1">
      <c r="C256" s="42">
        <f>+IF(E256&lt;&gt;0,MAX($C$1:C255)+1,"")</f>
        <v>230</v>
      </c>
      <c r="D256" s="43">
        <v>102410010</v>
      </c>
      <c r="E256" s="44" t="s">
        <v>168</v>
      </c>
      <c r="F256" s="45" t="s">
        <v>169</v>
      </c>
      <c r="G256" s="46">
        <v>45566</v>
      </c>
      <c r="H256" s="47" t="s">
        <v>24</v>
      </c>
      <c r="I256" s="48" t="s">
        <v>133</v>
      </c>
      <c r="J256" s="46"/>
      <c r="K256" s="49"/>
      <c r="L256" s="50"/>
      <c r="M256" s="50"/>
      <c r="N256" s="50"/>
      <c r="O256" s="51"/>
      <c r="P256" s="49"/>
      <c r="Q256" s="51"/>
      <c r="R256" s="52"/>
      <c r="S256" s="49"/>
      <c r="T256" s="53"/>
      <c r="U256" s="48"/>
      <c r="V256" s="54"/>
    </row>
    <row r="257" spans="2:25" s="41" customFormat="1" ht="20.25" customHeight="1">
      <c r="C257" s="42">
        <f>+IF(E257&lt;&gt;0,MAX($C$1:C256)+1,"")</f>
        <v>231</v>
      </c>
      <c r="D257" s="43">
        <v>102510008</v>
      </c>
      <c r="E257" s="44" t="s">
        <v>607</v>
      </c>
      <c r="F257" s="45" t="s">
        <v>110</v>
      </c>
      <c r="G257" s="46">
        <v>45939</v>
      </c>
      <c r="H257" s="47" t="s">
        <v>24</v>
      </c>
      <c r="I257" s="48" t="s">
        <v>133</v>
      </c>
      <c r="J257" s="46"/>
      <c r="K257" s="49"/>
      <c r="L257" s="50"/>
      <c r="M257" s="50"/>
      <c r="N257" s="50"/>
      <c r="O257" s="51"/>
      <c r="P257" s="49"/>
      <c r="Q257" s="51"/>
      <c r="R257" s="52"/>
      <c r="S257" s="49"/>
      <c r="T257" s="53"/>
      <c r="U257" s="48"/>
      <c r="V257" s="54"/>
    </row>
    <row r="258" spans="2:25" s="41" customFormat="1" ht="20.25" customHeight="1">
      <c r="C258" s="42">
        <f>+IF(E258&lt;&gt;0,MAX($C$1:C257)+1,"")</f>
        <v>232</v>
      </c>
      <c r="D258" s="43">
        <v>102511002</v>
      </c>
      <c r="E258" s="44" t="s">
        <v>608</v>
      </c>
      <c r="F258" s="45" t="s">
        <v>151</v>
      </c>
      <c r="G258" s="46">
        <v>45962</v>
      </c>
      <c r="H258" s="47" t="s">
        <v>24</v>
      </c>
      <c r="I258" s="48" t="s">
        <v>133</v>
      </c>
      <c r="J258" s="46"/>
      <c r="K258" s="49"/>
      <c r="L258" s="50"/>
      <c r="M258" s="50"/>
      <c r="N258" s="50"/>
      <c r="O258" s="51"/>
      <c r="P258" s="49"/>
      <c r="Q258" s="51"/>
      <c r="R258" s="52"/>
      <c r="S258" s="49"/>
      <c r="T258" s="53"/>
      <c r="U258" s="48"/>
      <c r="V258" s="54"/>
    </row>
    <row r="259" spans="2:25" s="41" customFormat="1" ht="20.25" customHeight="1">
      <c r="C259" s="42">
        <f>+IF(E259&lt;&gt;0,MAX($C$1:C258)+1,"")</f>
        <v>233</v>
      </c>
      <c r="D259" s="43">
        <v>102507003</v>
      </c>
      <c r="E259" s="44" t="s">
        <v>609</v>
      </c>
      <c r="F259" s="45" t="s">
        <v>108</v>
      </c>
      <c r="G259" s="46">
        <v>45839</v>
      </c>
      <c r="H259" s="47" t="s">
        <v>24</v>
      </c>
      <c r="I259" s="48" t="s">
        <v>133</v>
      </c>
      <c r="J259" s="46"/>
      <c r="K259" s="49"/>
      <c r="L259" s="50"/>
      <c r="M259" s="50"/>
      <c r="N259" s="50"/>
      <c r="O259" s="51"/>
      <c r="P259" s="49"/>
      <c r="Q259" s="51"/>
      <c r="R259" s="52"/>
      <c r="S259" s="49"/>
      <c r="T259" s="53"/>
      <c r="U259" s="48"/>
      <c r="V259" s="54"/>
    </row>
    <row r="260" spans="2:25" s="41" customFormat="1" ht="20.25" customHeight="1">
      <c r="B260" s="1"/>
      <c r="C260" s="242" t="s">
        <v>683</v>
      </c>
      <c r="D260" s="243"/>
      <c r="E260" s="244"/>
      <c r="F260" s="245"/>
      <c r="G260" s="246"/>
      <c r="H260" s="244"/>
      <c r="I260" s="245"/>
      <c r="J260" s="246"/>
      <c r="K260" s="32"/>
      <c r="L260" s="246"/>
      <c r="M260" s="243"/>
      <c r="N260" s="243"/>
      <c r="O260" s="246"/>
      <c r="P260" s="32"/>
      <c r="Q260" s="246"/>
      <c r="R260" s="247"/>
      <c r="S260" s="32"/>
      <c r="T260" s="248"/>
      <c r="U260" s="245"/>
      <c r="V260" s="54"/>
      <c r="W260" s="1"/>
      <c r="X260" s="1"/>
      <c r="Y260" s="1"/>
    </row>
    <row r="261" spans="2:25" s="41" customFormat="1" ht="20.25" customHeight="1">
      <c r="C261" s="42">
        <f>+IF(E261&lt;&gt;0,MAX($C$1:C259)+1,"")</f>
        <v>234</v>
      </c>
      <c r="D261" s="43">
        <v>109307005</v>
      </c>
      <c r="E261" s="44" t="s">
        <v>173</v>
      </c>
      <c r="F261" s="45" t="s">
        <v>174</v>
      </c>
      <c r="G261" s="46">
        <v>34151</v>
      </c>
      <c r="H261" s="47" t="s">
        <v>21</v>
      </c>
      <c r="I261" s="48" t="s">
        <v>662</v>
      </c>
      <c r="J261" s="46"/>
      <c r="K261" s="49"/>
      <c r="L261" s="50"/>
      <c r="M261" s="50"/>
      <c r="N261" s="50"/>
      <c r="O261" s="51"/>
      <c r="P261" s="49"/>
      <c r="Q261" s="51"/>
      <c r="R261" s="52"/>
      <c r="S261" s="49"/>
      <c r="T261" s="53"/>
      <c r="U261" s="48"/>
      <c r="V261" s="54"/>
    </row>
    <row r="262" spans="2:25" s="41" customFormat="1" ht="20.25" customHeight="1">
      <c r="C262" s="42">
        <f>+IF(E262&lt;&gt;0,MAX($C$1:C261)+1,"")</f>
        <v>235</v>
      </c>
      <c r="D262" s="43">
        <v>200907001</v>
      </c>
      <c r="E262" s="44" t="s">
        <v>175</v>
      </c>
      <c r="F262" s="45" t="s">
        <v>176</v>
      </c>
      <c r="G262" s="46">
        <v>39995</v>
      </c>
      <c r="H262" s="47" t="s">
        <v>571</v>
      </c>
      <c r="I262" s="48" t="s">
        <v>629</v>
      </c>
      <c r="J262" s="46"/>
      <c r="K262" s="49"/>
      <c r="L262" s="50"/>
      <c r="M262" s="50"/>
      <c r="N262" s="50"/>
      <c r="O262" s="51"/>
      <c r="P262" s="49"/>
      <c r="Q262" s="51"/>
      <c r="R262" s="52"/>
      <c r="S262" s="49"/>
      <c r="T262" s="53"/>
      <c r="U262" s="48"/>
      <c r="V262" s="54"/>
    </row>
    <row r="263" spans="2:25" s="41" customFormat="1" ht="20.25" customHeight="1">
      <c r="C263" s="42">
        <f>+IF(E263&lt;&gt;0,MAX($C$1:C262)+1,"")</f>
        <v>236</v>
      </c>
      <c r="D263" s="43">
        <v>111406297</v>
      </c>
      <c r="E263" s="44" t="s">
        <v>84</v>
      </c>
      <c r="F263" s="45" t="s">
        <v>179</v>
      </c>
      <c r="G263" s="46">
        <v>41810</v>
      </c>
      <c r="H263" s="47" t="s">
        <v>24</v>
      </c>
      <c r="I263" s="48" t="s">
        <v>663</v>
      </c>
      <c r="J263" s="46"/>
      <c r="K263" s="49"/>
      <c r="L263" s="50"/>
      <c r="M263" s="50"/>
      <c r="N263" s="50"/>
      <c r="O263" s="51"/>
      <c r="P263" s="49"/>
      <c r="Q263" s="51"/>
      <c r="R263" s="52"/>
      <c r="S263" s="49"/>
      <c r="T263" s="53"/>
      <c r="U263" s="48"/>
      <c r="V263" s="54"/>
    </row>
    <row r="264" spans="2:25" s="41" customFormat="1" ht="20.25" customHeight="1">
      <c r="C264" s="42">
        <f>+IF(E264&lt;&gt;0,MAX($C$1:C263)+1,"")</f>
        <v>237</v>
      </c>
      <c r="D264" s="43">
        <v>109307019</v>
      </c>
      <c r="E264" s="44" t="s">
        <v>84</v>
      </c>
      <c r="F264" s="45" t="s">
        <v>156</v>
      </c>
      <c r="G264" s="46">
        <v>34151</v>
      </c>
      <c r="H264" s="47" t="s">
        <v>24</v>
      </c>
      <c r="I264" s="48" t="s">
        <v>664</v>
      </c>
      <c r="J264" s="46"/>
      <c r="K264" s="49"/>
      <c r="L264" s="50"/>
      <c r="M264" s="50"/>
      <c r="N264" s="50"/>
      <c r="O264" s="51"/>
      <c r="P264" s="49"/>
      <c r="Q264" s="51"/>
      <c r="R264" s="52"/>
      <c r="S264" s="49"/>
      <c r="T264" s="53"/>
      <c r="U264" s="48"/>
      <c r="V264" s="54"/>
    </row>
    <row r="265" spans="2:25" s="41" customFormat="1" ht="20.25" customHeight="1">
      <c r="C265" s="42">
        <f>+IF(E265&lt;&gt;0,MAX($C$1:C264)+1,"")</f>
        <v>238</v>
      </c>
      <c r="D265" s="43">
        <v>100603004</v>
      </c>
      <c r="E265" s="44" t="s">
        <v>53</v>
      </c>
      <c r="F265" s="45" t="s">
        <v>54</v>
      </c>
      <c r="G265" s="46">
        <v>38777</v>
      </c>
      <c r="H265" s="47" t="s">
        <v>571</v>
      </c>
      <c r="I265" s="48" t="s">
        <v>629</v>
      </c>
      <c r="J265" s="46"/>
      <c r="K265" s="49"/>
      <c r="L265" s="50"/>
      <c r="M265" s="50"/>
      <c r="N265" s="50"/>
      <c r="O265" s="51"/>
      <c r="P265" s="49"/>
      <c r="Q265" s="51"/>
      <c r="R265" s="52"/>
      <c r="S265" s="49"/>
      <c r="T265" s="53"/>
      <c r="U265" s="48"/>
      <c r="V265" s="54"/>
    </row>
    <row r="266" spans="2:25" s="41" customFormat="1" ht="20.25" customHeight="1">
      <c r="C266" s="42">
        <f>+IF(E266&lt;&gt;0,MAX($C$1:C265)+1,"")</f>
        <v>239</v>
      </c>
      <c r="D266" s="43">
        <v>102310001</v>
      </c>
      <c r="E266" s="44" t="s">
        <v>177</v>
      </c>
      <c r="F266" s="45" t="s">
        <v>178</v>
      </c>
      <c r="G266" s="46">
        <v>45201</v>
      </c>
      <c r="H266" s="47" t="s">
        <v>24</v>
      </c>
      <c r="I266" s="48" t="s">
        <v>663</v>
      </c>
      <c r="J266" s="46"/>
      <c r="K266" s="49"/>
      <c r="L266" s="50"/>
      <c r="M266" s="50"/>
      <c r="N266" s="50"/>
      <c r="O266" s="51"/>
      <c r="P266" s="49"/>
      <c r="Q266" s="51"/>
      <c r="R266" s="52"/>
      <c r="S266" s="49"/>
      <c r="T266" s="53"/>
      <c r="U266" s="48"/>
      <c r="V266" s="54"/>
    </row>
    <row r="267" spans="2:25" s="41" customFormat="1" ht="20.25" customHeight="1">
      <c r="B267" s="1"/>
      <c r="C267" s="242" t="s">
        <v>684</v>
      </c>
      <c r="D267" s="243"/>
      <c r="E267" s="244"/>
      <c r="F267" s="245"/>
      <c r="G267" s="246"/>
      <c r="H267" s="244"/>
      <c r="I267" s="245"/>
      <c r="J267" s="246"/>
      <c r="K267" s="32"/>
      <c r="L267" s="246"/>
      <c r="M267" s="243"/>
      <c r="N267" s="243"/>
      <c r="O267" s="246"/>
      <c r="P267" s="32"/>
      <c r="Q267" s="246"/>
      <c r="R267" s="247"/>
      <c r="S267" s="32"/>
      <c r="T267" s="248"/>
      <c r="U267" s="245"/>
      <c r="V267" s="54"/>
      <c r="W267" s="1"/>
      <c r="X267" s="1"/>
      <c r="Y267" s="1"/>
    </row>
    <row r="268" spans="2:25" s="41" customFormat="1" ht="20.25" customHeight="1">
      <c r="C268" s="42">
        <f>+IF(E268&lt;&gt;0,MAX($C$1:C266)+1,"")</f>
        <v>240</v>
      </c>
      <c r="D268" s="43">
        <v>100110001</v>
      </c>
      <c r="E268" s="44" t="s">
        <v>202</v>
      </c>
      <c r="F268" s="45" t="s">
        <v>58</v>
      </c>
      <c r="G268" s="46">
        <v>37165</v>
      </c>
      <c r="H268" s="47" t="s">
        <v>21</v>
      </c>
      <c r="I268" s="48" t="s">
        <v>665</v>
      </c>
      <c r="J268" s="46"/>
      <c r="K268" s="49"/>
      <c r="L268" s="50"/>
      <c r="M268" s="50"/>
      <c r="N268" s="50"/>
      <c r="O268" s="51"/>
      <c r="P268" s="49"/>
      <c r="Q268" s="51"/>
      <c r="R268" s="52"/>
      <c r="S268" s="49"/>
      <c r="T268" s="53"/>
      <c r="U268" s="48"/>
      <c r="V268" s="54"/>
    </row>
    <row r="269" spans="2:25" s="41" customFormat="1" ht="20.25" customHeight="1">
      <c r="C269" s="42">
        <f>+IF(E269&lt;&gt;0,MAX($C$1:C268)+1,"")</f>
        <v>241</v>
      </c>
      <c r="D269" s="43">
        <v>209307001</v>
      </c>
      <c r="E269" s="44" t="s">
        <v>323</v>
      </c>
      <c r="F269" s="45" t="s">
        <v>250</v>
      </c>
      <c r="G269" s="46">
        <v>34151</v>
      </c>
      <c r="H269" s="47" t="s">
        <v>52</v>
      </c>
      <c r="I269" s="48" t="s">
        <v>642</v>
      </c>
      <c r="J269" s="46"/>
      <c r="K269" s="49"/>
      <c r="L269" s="50"/>
      <c r="M269" s="50"/>
      <c r="N269" s="50"/>
      <c r="O269" s="51"/>
      <c r="P269" s="49"/>
      <c r="Q269" s="51"/>
      <c r="R269" s="52"/>
      <c r="S269" s="49"/>
      <c r="T269" s="53"/>
      <c r="U269" s="48"/>
      <c r="V269" s="54"/>
    </row>
    <row r="270" spans="2:25" s="41" customFormat="1" ht="20.25" customHeight="1">
      <c r="C270" s="42">
        <f>+IF(E270&lt;&gt;0,MAX($C$1:C269)+1,"")</f>
        <v>242</v>
      </c>
      <c r="D270" s="43">
        <v>200209003</v>
      </c>
      <c r="E270" s="44" t="s">
        <v>595</v>
      </c>
      <c r="F270" s="45" t="s">
        <v>77</v>
      </c>
      <c r="G270" s="46">
        <v>37501</v>
      </c>
      <c r="H270" s="47" t="s">
        <v>28</v>
      </c>
      <c r="I270" s="48" t="s">
        <v>660</v>
      </c>
      <c r="J270" s="46"/>
      <c r="K270" s="49"/>
      <c r="L270" s="50"/>
      <c r="M270" s="50"/>
      <c r="N270" s="50"/>
      <c r="O270" s="51"/>
      <c r="P270" s="49"/>
      <c r="Q270" s="51"/>
      <c r="R270" s="52"/>
      <c r="S270" s="49"/>
      <c r="T270" s="53"/>
      <c r="U270" s="48"/>
      <c r="V270" s="54"/>
    </row>
    <row r="271" spans="2:25" s="41" customFormat="1" ht="20.25" customHeight="1">
      <c r="C271" s="42">
        <f>+IF(E271&lt;&gt;0,MAX($C$1:C270)+1,"")</f>
        <v>243</v>
      </c>
      <c r="D271" s="43">
        <v>301205001</v>
      </c>
      <c r="E271" s="44" t="s">
        <v>204</v>
      </c>
      <c r="F271" s="45" t="s">
        <v>23</v>
      </c>
      <c r="G271" s="46">
        <v>41031</v>
      </c>
      <c r="H271" s="47" t="s">
        <v>61</v>
      </c>
      <c r="I271" s="48" t="s">
        <v>642</v>
      </c>
      <c r="J271" s="46"/>
      <c r="K271" s="49"/>
      <c r="L271" s="50"/>
      <c r="M271" s="50"/>
      <c r="N271" s="50"/>
      <c r="O271" s="51"/>
      <c r="P271" s="49"/>
      <c r="Q271" s="51"/>
      <c r="R271" s="52"/>
      <c r="S271" s="49"/>
      <c r="T271" s="53"/>
      <c r="U271" s="48"/>
      <c r="V271" s="54"/>
    </row>
    <row r="272" spans="2:25" s="41" customFormat="1" ht="20.25" customHeight="1">
      <c r="C272" s="42">
        <f>+IF(E272&lt;&gt;0,MAX($C$1:C271)+1,"")</f>
        <v>244</v>
      </c>
      <c r="D272" s="43">
        <v>209505002</v>
      </c>
      <c r="E272" s="44" t="s">
        <v>610</v>
      </c>
      <c r="F272" s="45" t="s">
        <v>611</v>
      </c>
      <c r="G272" s="46">
        <v>34820</v>
      </c>
      <c r="H272" s="47" t="s">
        <v>52</v>
      </c>
      <c r="I272" s="48" t="s">
        <v>642</v>
      </c>
      <c r="J272" s="46"/>
      <c r="K272" s="49"/>
      <c r="L272" s="50"/>
      <c r="M272" s="50"/>
      <c r="N272" s="50"/>
      <c r="O272" s="51"/>
      <c r="P272" s="49"/>
      <c r="Q272" s="51"/>
      <c r="R272" s="52"/>
      <c r="S272" s="49"/>
      <c r="T272" s="53"/>
      <c r="U272" s="48"/>
      <c r="V272" s="54"/>
    </row>
    <row r="273" spans="3:22" s="41" customFormat="1" ht="20.25" customHeight="1">
      <c r="C273" s="42">
        <f>+IF(E273&lt;&gt;0,MAX($C$1:C272)+1,"")</f>
        <v>245</v>
      </c>
      <c r="D273" s="43">
        <v>301312011</v>
      </c>
      <c r="E273" s="44" t="s">
        <v>314</v>
      </c>
      <c r="F273" s="45" t="s">
        <v>315</v>
      </c>
      <c r="G273" s="46">
        <v>41626</v>
      </c>
      <c r="H273" s="47" t="s">
        <v>61</v>
      </c>
      <c r="I273" s="48" t="s">
        <v>642</v>
      </c>
      <c r="J273" s="46"/>
      <c r="K273" s="49"/>
      <c r="L273" s="50"/>
      <c r="M273" s="50"/>
      <c r="N273" s="50"/>
      <c r="O273" s="51"/>
      <c r="P273" s="49"/>
      <c r="Q273" s="51"/>
      <c r="R273" s="52"/>
      <c r="S273" s="49"/>
      <c r="T273" s="53"/>
      <c r="U273" s="48"/>
      <c r="V273" s="54"/>
    </row>
    <row r="274" spans="3:22" s="41" customFormat="1" ht="20.25" customHeight="1">
      <c r="C274" s="42">
        <f>+IF(E274&lt;&gt;0,MAX($C$1:C273)+1,"")</f>
        <v>246</v>
      </c>
      <c r="D274" s="43">
        <v>100804001</v>
      </c>
      <c r="E274" s="44" t="s">
        <v>84</v>
      </c>
      <c r="F274" s="45" t="s">
        <v>54</v>
      </c>
      <c r="G274" s="46">
        <v>39539</v>
      </c>
      <c r="H274" s="47" t="s">
        <v>571</v>
      </c>
      <c r="I274" s="48" t="s">
        <v>629</v>
      </c>
      <c r="J274" s="46"/>
      <c r="K274" s="49"/>
      <c r="L274" s="50"/>
      <c r="M274" s="50"/>
      <c r="N274" s="50"/>
      <c r="O274" s="51"/>
      <c r="P274" s="49"/>
      <c r="Q274" s="51"/>
      <c r="R274" s="52"/>
      <c r="S274" s="49"/>
      <c r="T274" s="53"/>
      <c r="U274" s="48"/>
      <c r="V274" s="54"/>
    </row>
    <row r="275" spans="3:22" s="41" customFormat="1" ht="20.25" customHeight="1">
      <c r="C275" s="42">
        <f>+IF(E275&lt;&gt;0,MAX($C$1:C274)+1,"")</f>
        <v>247</v>
      </c>
      <c r="D275" s="43">
        <v>100810002</v>
      </c>
      <c r="E275" s="44" t="s">
        <v>203</v>
      </c>
      <c r="F275" s="45" t="s">
        <v>30</v>
      </c>
      <c r="G275" s="46">
        <v>39734</v>
      </c>
      <c r="H275" s="47" t="s">
        <v>571</v>
      </c>
      <c r="I275" s="48" t="s">
        <v>629</v>
      </c>
      <c r="J275" s="46"/>
      <c r="K275" s="49"/>
      <c r="L275" s="50"/>
      <c r="M275" s="50"/>
      <c r="N275" s="50"/>
      <c r="O275" s="51"/>
      <c r="P275" s="49"/>
      <c r="Q275" s="51"/>
      <c r="R275" s="52"/>
      <c r="S275" s="49"/>
      <c r="T275" s="53"/>
      <c r="U275" s="48"/>
      <c r="V275" s="54"/>
    </row>
    <row r="276" spans="3:22" s="41" customFormat="1" ht="20.25" customHeight="1">
      <c r="C276" s="42">
        <f>+IF(E276&lt;&gt;0,MAX($C$1:C275)+1,"")</f>
        <v>248</v>
      </c>
      <c r="D276" s="43">
        <v>109307015</v>
      </c>
      <c r="E276" s="44" t="s">
        <v>205</v>
      </c>
      <c r="F276" s="45" t="s">
        <v>113</v>
      </c>
      <c r="G276" s="46">
        <v>34151</v>
      </c>
      <c r="H276" s="47" t="s">
        <v>24</v>
      </c>
      <c r="I276" s="48" t="s">
        <v>206</v>
      </c>
      <c r="J276" s="46"/>
      <c r="K276" s="49"/>
      <c r="L276" s="50"/>
      <c r="M276" s="50"/>
      <c r="N276" s="50"/>
      <c r="O276" s="51"/>
      <c r="P276" s="49"/>
      <c r="Q276" s="51"/>
      <c r="R276" s="52"/>
      <c r="S276" s="49"/>
      <c r="T276" s="53"/>
      <c r="U276" s="48"/>
      <c r="V276" s="54"/>
    </row>
    <row r="277" spans="3:22" s="41" customFormat="1" ht="20.25" customHeight="1">
      <c r="C277" s="42">
        <f>+IF(E277&lt;&gt;0,MAX($C$1:C276)+1,"")</f>
        <v>249</v>
      </c>
      <c r="D277" s="43">
        <v>231510486</v>
      </c>
      <c r="E277" s="44" t="s">
        <v>207</v>
      </c>
      <c r="F277" s="45" t="s">
        <v>97</v>
      </c>
      <c r="G277" s="46">
        <v>42298</v>
      </c>
      <c r="H277" s="47" t="s">
        <v>24</v>
      </c>
      <c r="I277" s="48" t="s">
        <v>666</v>
      </c>
      <c r="J277" s="46"/>
      <c r="K277" s="49"/>
      <c r="L277" s="50"/>
      <c r="M277" s="50"/>
      <c r="N277" s="50"/>
      <c r="O277" s="51"/>
      <c r="P277" s="49"/>
      <c r="Q277" s="51"/>
      <c r="R277" s="52"/>
      <c r="S277" s="49"/>
      <c r="T277" s="53"/>
      <c r="U277" s="48"/>
      <c r="V277" s="54"/>
    </row>
    <row r="278" spans="3:22" s="41" customFormat="1" ht="20.25" customHeight="1">
      <c r="C278" s="42">
        <f>+IF(E278&lt;&gt;0,MAX($C$1:C277)+1,"")</f>
        <v>250</v>
      </c>
      <c r="D278" s="43">
        <v>102410013</v>
      </c>
      <c r="E278" s="44" t="s">
        <v>208</v>
      </c>
      <c r="F278" s="45" t="s">
        <v>77</v>
      </c>
      <c r="G278" s="46">
        <v>45568</v>
      </c>
      <c r="H278" s="47" t="s">
        <v>24</v>
      </c>
      <c r="I278" s="48" t="s">
        <v>666</v>
      </c>
      <c r="J278" s="46"/>
      <c r="K278" s="49"/>
      <c r="L278" s="50"/>
      <c r="M278" s="50"/>
      <c r="N278" s="50"/>
      <c r="O278" s="51"/>
      <c r="P278" s="49"/>
      <c r="Q278" s="51"/>
      <c r="R278" s="52"/>
      <c r="S278" s="49"/>
      <c r="T278" s="53"/>
      <c r="U278" s="48"/>
      <c r="V278" s="54"/>
    </row>
    <row r="279" spans="3:22" s="41" customFormat="1" ht="20.25" customHeight="1">
      <c r="C279" s="42">
        <f>+IF(E279&lt;&gt;0,MAX($C$1:C278)+1,"")</f>
        <v>251</v>
      </c>
      <c r="D279" s="43">
        <v>101307001</v>
      </c>
      <c r="E279" s="44" t="s">
        <v>211</v>
      </c>
      <c r="F279" s="45" t="s">
        <v>212</v>
      </c>
      <c r="G279" s="46">
        <v>41456</v>
      </c>
      <c r="H279" s="47" t="s">
        <v>24</v>
      </c>
      <c r="I279" s="48" t="s">
        <v>667</v>
      </c>
      <c r="J279" s="46"/>
      <c r="K279" s="49"/>
      <c r="L279" s="50"/>
      <c r="M279" s="50"/>
      <c r="N279" s="50"/>
      <c r="O279" s="51"/>
      <c r="P279" s="49"/>
      <c r="Q279" s="51"/>
      <c r="R279" s="52"/>
      <c r="S279" s="49"/>
      <c r="T279" s="53"/>
      <c r="U279" s="48"/>
      <c r="V279" s="54"/>
    </row>
    <row r="280" spans="3:22" s="41" customFormat="1" ht="20.25" customHeight="1">
      <c r="C280" s="42">
        <f>+IF(E280&lt;&gt;0,MAX($C$1:C279)+1,"")</f>
        <v>252</v>
      </c>
      <c r="D280" s="43">
        <v>681506001</v>
      </c>
      <c r="E280" s="44" t="s">
        <v>210</v>
      </c>
      <c r="F280" s="45" t="s">
        <v>106</v>
      </c>
      <c r="G280" s="46">
        <v>42170</v>
      </c>
      <c r="H280" s="47" t="s">
        <v>24</v>
      </c>
      <c r="I280" s="48" t="s">
        <v>668</v>
      </c>
      <c r="J280" s="46"/>
      <c r="K280" s="49"/>
      <c r="L280" s="50"/>
      <c r="M280" s="50"/>
      <c r="N280" s="50"/>
      <c r="O280" s="51"/>
      <c r="P280" s="49"/>
      <c r="Q280" s="51"/>
      <c r="R280" s="52"/>
      <c r="S280" s="49"/>
      <c r="T280" s="53"/>
      <c r="U280" s="48"/>
      <c r="V280" s="54"/>
    </row>
    <row r="281" spans="3:22" s="41" customFormat="1" ht="20.25" customHeight="1">
      <c r="C281" s="42">
        <f>+IF(E281&lt;&gt;0,MAX($C$1:C280)+1,"")</f>
        <v>253</v>
      </c>
      <c r="D281" s="43">
        <v>300603001</v>
      </c>
      <c r="E281" s="44" t="s">
        <v>209</v>
      </c>
      <c r="F281" s="45" t="s">
        <v>124</v>
      </c>
      <c r="G281" s="46">
        <v>38777</v>
      </c>
      <c r="H281" s="47" t="s">
        <v>24</v>
      </c>
      <c r="I281" s="48" t="s">
        <v>666</v>
      </c>
      <c r="J281" s="46"/>
      <c r="K281" s="49"/>
      <c r="L281" s="50"/>
      <c r="M281" s="50"/>
      <c r="N281" s="50"/>
      <c r="O281" s="51"/>
      <c r="P281" s="49"/>
      <c r="Q281" s="51"/>
      <c r="R281" s="52"/>
      <c r="S281" s="49"/>
      <c r="T281" s="53"/>
      <c r="U281" s="48"/>
      <c r="V281" s="54"/>
    </row>
    <row r="282" spans="3:22" s="41" customFormat="1" ht="20.25" customHeight="1">
      <c r="C282" s="42">
        <f>+IF(E282&lt;&gt;0,MAX($C$1:C281)+1,"")</f>
        <v>254</v>
      </c>
      <c r="D282" s="43">
        <v>200906001</v>
      </c>
      <c r="E282" s="44" t="s">
        <v>216</v>
      </c>
      <c r="F282" s="45" t="s">
        <v>110</v>
      </c>
      <c r="G282" s="46">
        <v>39967</v>
      </c>
      <c r="H282" s="47" t="s">
        <v>24</v>
      </c>
      <c r="I282" s="48" t="s">
        <v>668</v>
      </c>
      <c r="J282" s="46"/>
      <c r="K282" s="49"/>
      <c r="L282" s="50"/>
      <c r="M282" s="50"/>
      <c r="N282" s="50"/>
      <c r="O282" s="51"/>
      <c r="P282" s="49"/>
      <c r="Q282" s="51"/>
      <c r="R282" s="52"/>
      <c r="S282" s="49"/>
      <c r="T282" s="53"/>
      <c r="U282" s="48"/>
      <c r="V282" s="54"/>
    </row>
    <row r="283" spans="3:22" s="41" customFormat="1" ht="20.25" customHeight="1">
      <c r="C283" s="42">
        <f>+IF(E283&lt;&gt;0,MAX($C$1:C282)+1,"")</f>
        <v>255</v>
      </c>
      <c r="D283" s="43">
        <v>102410014</v>
      </c>
      <c r="E283" s="44" t="s">
        <v>217</v>
      </c>
      <c r="F283" s="45" t="s">
        <v>151</v>
      </c>
      <c r="G283" s="46">
        <v>45568</v>
      </c>
      <c r="H283" s="47" t="s">
        <v>24</v>
      </c>
      <c r="I283" s="48" t="s">
        <v>668</v>
      </c>
      <c r="J283" s="46"/>
      <c r="K283" s="49"/>
      <c r="L283" s="50"/>
      <c r="M283" s="50"/>
      <c r="N283" s="50"/>
      <c r="O283" s="51"/>
      <c r="P283" s="49"/>
      <c r="Q283" s="51"/>
      <c r="R283" s="52"/>
      <c r="S283" s="49"/>
      <c r="T283" s="53"/>
      <c r="U283" s="48"/>
      <c r="V283" s="54"/>
    </row>
    <row r="284" spans="3:22" s="41" customFormat="1" ht="20.25" customHeight="1">
      <c r="C284" s="42">
        <f>+IF(E284&lt;&gt;0,MAX($C$1:C283)+1,"")</f>
        <v>256</v>
      </c>
      <c r="D284" s="43">
        <v>110004003</v>
      </c>
      <c r="E284" s="44" t="s">
        <v>213</v>
      </c>
      <c r="F284" s="45" t="s">
        <v>214</v>
      </c>
      <c r="G284" s="46">
        <v>36617</v>
      </c>
      <c r="H284" s="47" t="s">
        <v>24</v>
      </c>
      <c r="I284" s="48" t="s">
        <v>666</v>
      </c>
      <c r="J284" s="46"/>
      <c r="K284" s="49"/>
      <c r="L284" s="50"/>
      <c r="M284" s="50"/>
      <c r="N284" s="50"/>
      <c r="O284" s="51"/>
      <c r="P284" s="49"/>
      <c r="Q284" s="51"/>
      <c r="R284" s="52"/>
      <c r="S284" s="49"/>
      <c r="T284" s="53"/>
      <c r="U284" s="48"/>
      <c r="V284" s="54"/>
    </row>
    <row r="285" spans="3:22" s="41" customFormat="1" ht="20.25" customHeight="1">
      <c r="C285" s="42">
        <f>+IF(E285&lt;&gt;0,MAX($C$1:C284)+1,"")</f>
        <v>257</v>
      </c>
      <c r="D285" s="43">
        <v>102206007</v>
      </c>
      <c r="E285" s="44" t="s">
        <v>66</v>
      </c>
      <c r="F285" s="45" t="s">
        <v>218</v>
      </c>
      <c r="G285" s="46">
        <v>44713</v>
      </c>
      <c r="H285" s="47" t="s">
        <v>24</v>
      </c>
      <c r="I285" s="48" t="s">
        <v>666</v>
      </c>
      <c r="J285" s="46"/>
      <c r="K285" s="49"/>
      <c r="L285" s="50"/>
      <c r="M285" s="50"/>
      <c r="N285" s="50"/>
      <c r="O285" s="51"/>
      <c r="P285" s="49"/>
      <c r="Q285" s="51"/>
      <c r="R285" s="52"/>
      <c r="S285" s="49"/>
      <c r="T285" s="53"/>
      <c r="U285" s="48"/>
      <c r="V285" s="54"/>
    </row>
    <row r="286" spans="3:22" s="41" customFormat="1" ht="20.25" customHeight="1">
      <c r="C286" s="42">
        <f>+IF(E286&lt;&gt;0,MAX($C$1:C285)+1,"")</f>
        <v>258</v>
      </c>
      <c r="D286" s="43">
        <v>102103170</v>
      </c>
      <c r="E286" s="44" t="s">
        <v>69</v>
      </c>
      <c r="F286" s="45" t="s">
        <v>215</v>
      </c>
      <c r="G286" s="46">
        <v>44277</v>
      </c>
      <c r="H286" s="47" t="s">
        <v>24</v>
      </c>
      <c r="I286" s="48" t="s">
        <v>666</v>
      </c>
      <c r="J286" s="46"/>
      <c r="K286" s="49"/>
      <c r="L286" s="50"/>
      <c r="M286" s="50"/>
      <c r="N286" s="50"/>
      <c r="O286" s="51"/>
      <c r="P286" s="49"/>
      <c r="Q286" s="51"/>
      <c r="R286" s="52"/>
      <c r="S286" s="49"/>
      <c r="T286" s="53"/>
      <c r="U286" s="48"/>
      <c r="V286" s="54"/>
    </row>
    <row r="287" spans="3:22" s="41" customFormat="1" ht="20.25" customHeight="1">
      <c r="C287" s="42">
        <f>+IF(E287&lt;&gt;0,MAX($C$1:C286)+1,"")</f>
        <v>259</v>
      </c>
      <c r="D287" s="43">
        <v>301305010</v>
      </c>
      <c r="E287" s="44" t="s">
        <v>219</v>
      </c>
      <c r="F287" s="45" t="s">
        <v>183</v>
      </c>
      <c r="G287" s="46">
        <v>41415</v>
      </c>
      <c r="H287" s="47" t="s">
        <v>571</v>
      </c>
      <c r="I287" s="48" t="s">
        <v>629</v>
      </c>
      <c r="J287" s="46"/>
      <c r="K287" s="49"/>
      <c r="L287" s="50"/>
      <c r="M287" s="50"/>
      <c r="N287" s="50"/>
      <c r="O287" s="51"/>
      <c r="P287" s="49"/>
      <c r="Q287" s="51"/>
      <c r="R287" s="52"/>
      <c r="S287" s="49"/>
      <c r="T287" s="53"/>
      <c r="U287" s="48"/>
      <c r="V287" s="54"/>
    </row>
    <row r="288" spans="3:22" s="41" customFormat="1" ht="20.25" customHeight="1">
      <c r="C288" s="42">
        <f>+IF(E288&lt;&gt;0,MAX($C$1:C287)+1,"")</f>
        <v>260</v>
      </c>
      <c r="D288" s="43">
        <v>109505001</v>
      </c>
      <c r="E288" s="44" t="s">
        <v>221</v>
      </c>
      <c r="F288" s="45" t="s">
        <v>222</v>
      </c>
      <c r="G288" s="46">
        <v>34820</v>
      </c>
      <c r="H288" s="47" t="s">
        <v>61</v>
      </c>
      <c r="I288" s="48" t="s">
        <v>223</v>
      </c>
      <c r="J288" s="46"/>
      <c r="K288" s="49"/>
      <c r="L288" s="50"/>
      <c r="M288" s="50"/>
      <c r="N288" s="50"/>
      <c r="O288" s="51"/>
      <c r="P288" s="49"/>
      <c r="Q288" s="51"/>
      <c r="R288" s="52"/>
      <c r="S288" s="49"/>
      <c r="T288" s="53"/>
      <c r="U288" s="48"/>
      <c r="V288" s="54"/>
    </row>
    <row r="289" spans="3:22" s="41" customFormat="1" ht="20.25" customHeight="1">
      <c r="C289" s="42">
        <f>+IF(E289&lt;&gt;0,MAX($C$1:C288)+1,"")</f>
        <v>261</v>
      </c>
      <c r="D289" s="43">
        <v>209307003</v>
      </c>
      <c r="E289" s="44" t="s">
        <v>224</v>
      </c>
      <c r="F289" s="45" t="s">
        <v>193</v>
      </c>
      <c r="G289" s="46">
        <v>34151</v>
      </c>
      <c r="H289" s="47" t="s">
        <v>24</v>
      </c>
      <c r="I289" s="48" t="s">
        <v>223</v>
      </c>
      <c r="J289" s="46"/>
      <c r="K289" s="49"/>
      <c r="L289" s="50"/>
      <c r="M289" s="50"/>
      <c r="N289" s="50"/>
      <c r="O289" s="51"/>
      <c r="P289" s="49"/>
      <c r="Q289" s="51"/>
      <c r="R289" s="52"/>
      <c r="S289" s="49"/>
      <c r="T289" s="53"/>
      <c r="U289" s="48"/>
      <c r="V289" s="54"/>
    </row>
    <row r="290" spans="3:22" s="41" customFormat="1" ht="20.25" customHeight="1">
      <c r="C290" s="42">
        <f>+IF(E290&lt;&gt;0,MAX($C$1:C289)+1,"")</f>
        <v>262</v>
      </c>
      <c r="D290" s="43">
        <v>112011028</v>
      </c>
      <c r="E290" s="44" t="s">
        <v>228</v>
      </c>
      <c r="F290" s="45" t="s">
        <v>181</v>
      </c>
      <c r="G290" s="46">
        <v>36831</v>
      </c>
      <c r="H290" s="47" t="s">
        <v>24</v>
      </c>
      <c r="I290" s="48" t="s">
        <v>223</v>
      </c>
      <c r="J290" s="46"/>
      <c r="K290" s="49"/>
      <c r="L290" s="50"/>
      <c r="M290" s="50"/>
      <c r="N290" s="50"/>
      <c r="O290" s="51"/>
      <c r="P290" s="49"/>
      <c r="Q290" s="51"/>
      <c r="R290" s="52"/>
      <c r="S290" s="49"/>
      <c r="T290" s="53"/>
      <c r="U290" s="48"/>
      <c r="V290" s="54"/>
    </row>
    <row r="291" spans="3:22" s="41" customFormat="1" ht="20.25" customHeight="1">
      <c r="C291" s="42">
        <f>+IF(E291&lt;&gt;0,MAX($C$1:C290)+1,"")</f>
        <v>263</v>
      </c>
      <c r="D291" s="43">
        <v>401006002</v>
      </c>
      <c r="E291" s="44" t="s">
        <v>226</v>
      </c>
      <c r="F291" s="45" t="s">
        <v>42</v>
      </c>
      <c r="G291" s="46">
        <v>40330</v>
      </c>
      <c r="H291" s="47" t="s">
        <v>24</v>
      </c>
      <c r="I291" s="48" t="s">
        <v>223</v>
      </c>
      <c r="J291" s="46"/>
      <c r="K291" s="49"/>
      <c r="L291" s="50"/>
      <c r="M291" s="50"/>
      <c r="N291" s="50"/>
      <c r="O291" s="51"/>
      <c r="P291" s="49"/>
      <c r="Q291" s="51"/>
      <c r="R291" s="52"/>
      <c r="S291" s="49"/>
      <c r="T291" s="53"/>
      <c r="U291" s="48"/>
      <c r="V291" s="54"/>
    </row>
    <row r="292" spans="3:22" s="41" customFormat="1" ht="20.25" customHeight="1">
      <c r="C292" s="42">
        <f>+IF(E292&lt;&gt;0,MAX($C$1:C291)+1,"")</f>
        <v>264</v>
      </c>
      <c r="D292" s="43">
        <v>249511001</v>
      </c>
      <c r="E292" s="44" t="s">
        <v>227</v>
      </c>
      <c r="F292" s="45" t="s">
        <v>60</v>
      </c>
      <c r="G292" s="46">
        <v>35004</v>
      </c>
      <c r="H292" s="47" t="s">
        <v>24</v>
      </c>
      <c r="I292" s="48" t="s">
        <v>223</v>
      </c>
      <c r="J292" s="46"/>
      <c r="K292" s="49"/>
      <c r="L292" s="50"/>
      <c r="M292" s="50"/>
      <c r="N292" s="50"/>
      <c r="O292" s="51"/>
      <c r="P292" s="49"/>
      <c r="Q292" s="51"/>
      <c r="R292" s="52"/>
      <c r="S292" s="49"/>
      <c r="T292" s="53"/>
      <c r="U292" s="48"/>
      <c r="V292" s="54"/>
    </row>
    <row r="293" spans="3:22" s="41" customFormat="1" ht="20.25" customHeight="1">
      <c r="C293" s="42">
        <f>+IF(E293&lt;&gt;0,MAX($C$1:C292)+1,"")</f>
        <v>265</v>
      </c>
      <c r="D293" s="43">
        <v>330503001</v>
      </c>
      <c r="E293" s="44" t="s">
        <v>69</v>
      </c>
      <c r="F293" s="45" t="s">
        <v>225</v>
      </c>
      <c r="G293" s="46">
        <v>38412</v>
      </c>
      <c r="H293" s="47" t="s">
        <v>24</v>
      </c>
      <c r="I293" s="48" t="s">
        <v>223</v>
      </c>
      <c r="J293" s="46"/>
      <c r="K293" s="49"/>
      <c r="L293" s="50"/>
      <c r="M293" s="50"/>
      <c r="N293" s="50"/>
      <c r="O293" s="51"/>
      <c r="P293" s="49"/>
      <c r="Q293" s="51"/>
      <c r="R293" s="52"/>
      <c r="S293" s="49"/>
      <c r="T293" s="53"/>
      <c r="U293" s="48"/>
      <c r="V293" s="54"/>
    </row>
    <row r="294" spans="3:22" s="41" customFormat="1" ht="20.25" customHeight="1">
      <c r="C294" s="42">
        <f>+IF(E294&lt;&gt;0,MAX($C$1:C293)+1,"")</f>
        <v>266</v>
      </c>
      <c r="D294" s="43">
        <v>100510001</v>
      </c>
      <c r="E294" s="44" t="s">
        <v>229</v>
      </c>
      <c r="F294" s="45" t="s">
        <v>230</v>
      </c>
      <c r="G294" s="46">
        <v>38626</v>
      </c>
      <c r="H294" s="47" t="s">
        <v>24</v>
      </c>
      <c r="I294" s="48" t="s">
        <v>669</v>
      </c>
      <c r="J294" s="46"/>
      <c r="K294" s="49"/>
      <c r="L294" s="50"/>
      <c r="M294" s="50"/>
      <c r="N294" s="50"/>
      <c r="O294" s="51"/>
      <c r="P294" s="49"/>
      <c r="Q294" s="51"/>
      <c r="R294" s="52"/>
      <c r="S294" s="49"/>
      <c r="T294" s="53"/>
      <c r="U294" s="48"/>
      <c r="V294" s="54"/>
    </row>
    <row r="295" spans="3:22" s="41" customFormat="1" ht="20.25" customHeight="1">
      <c r="C295" s="42">
        <f>+IF(E295&lt;&gt;0,MAX($C$1:C294)+1,"")</f>
        <v>267</v>
      </c>
      <c r="D295" s="43">
        <v>100110004</v>
      </c>
      <c r="E295" s="44" t="s">
        <v>232</v>
      </c>
      <c r="F295" s="45" t="s">
        <v>67</v>
      </c>
      <c r="G295" s="46">
        <v>37166</v>
      </c>
      <c r="H295" s="47" t="s">
        <v>24</v>
      </c>
      <c r="I295" s="48" t="s">
        <v>667</v>
      </c>
      <c r="J295" s="46"/>
      <c r="K295" s="49"/>
      <c r="L295" s="50"/>
      <c r="M295" s="50"/>
      <c r="N295" s="50"/>
      <c r="O295" s="51"/>
      <c r="P295" s="49"/>
      <c r="Q295" s="51"/>
      <c r="R295" s="52"/>
      <c r="S295" s="49"/>
      <c r="T295" s="53"/>
      <c r="U295" s="48"/>
      <c r="V295" s="54"/>
    </row>
    <row r="296" spans="3:22" s="41" customFormat="1" ht="20.25" customHeight="1">
      <c r="C296" s="42">
        <f>+IF(E296&lt;&gt;0,MAX($C$1:C295)+1,"")</f>
        <v>268</v>
      </c>
      <c r="D296" s="43">
        <v>101507029</v>
      </c>
      <c r="E296" s="44" t="s">
        <v>231</v>
      </c>
      <c r="F296" s="45" t="s">
        <v>156</v>
      </c>
      <c r="G296" s="46">
        <v>42212</v>
      </c>
      <c r="H296" s="47" t="s">
        <v>24</v>
      </c>
      <c r="I296" s="48" t="s">
        <v>669</v>
      </c>
      <c r="J296" s="46"/>
      <c r="K296" s="49"/>
      <c r="L296" s="50"/>
      <c r="M296" s="50"/>
      <c r="N296" s="50"/>
      <c r="O296" s="51"/>
      <c r="P296" s="49"/>
      <c r="Q296" s="51"/>
      <c r="R296" s="52"/>
      <c r="S296" s="49"/>
      <c r="T296" s="53"/>
      <c r="U296" s="48"/>
      <c r="V296" s="54"/>
    </row>
    <row r="297" spans="3:22" s="41" customFormat="1" ht="20.25" customHeight="1">
      <c r="C297" s="42">
        <f>+IF(E297&lt;&gt;0,MAX($C$1:C296)+1,"")</f>
        <v>269</v>
      </c>
      <c r="D297" s="43">
        <v>200706001</v>
      </c>
      <c r="E297" s="44" t="s">
        <v>303</v>
      </c>
      <c r="F297" s="45" t="s">
        <v>60</v>
      </c>
      <c r="G297" s="46">
        <v>39234</v>
      </c>
      <c r="H297" s="47" t="s">
        <v>24</v>
      </c>
      <c r="I297" s="48" t="s">
        <v>670</v>
      </c>
      <c r="J297" s="46"/>
      <c r="K297" s="49"/>
      <c r="L297" s="50"/>
      <c r="M297" s="50"/>
      <c r="N297" s="50"/>
      <c r="O297" s="51"/>
      <c r="P297" s="49"/>
      <c r="Q297" s="51"/>
      <c r="R297" s="52"/>
      <c r="S297" s="49"/>
      <c r="T297" s="53"/>
      <c r="U297" s="48"/>
      <c r="V297" s="54"/>
    </row>
    <row r="298" spans="3:22" s="41" customFormat="1" ht="20.25" customHeight="1">
      <c r="C298" s="42">
        <f>+IF(E298&lt;&gt;0,MAX($C$1:C297)+1,"")</f>
        <v>270</v>
      </c>
      <c r="D298" s="43">
        <v>209501001</v>
      </c>
      <c r="E298" s="44" t="s">
        <v>312</v>
      </c>
      <c r="F298" s="45" t="s">
        <v>313</v>
      </c>
      <c r="G298" s="46">
        <v>34700</v>
      </c>
      <c r="H298" s="47" t="s">
        <v>24</v>
      </c>
      <c r="I298" s="48" t="s">
        <v>670</v>
      </c>
      <c r="J298" s="46"/>
      <c r="K298" s="49"/>
      <c r="L298" s="50"/>
      <c r="M298" s="50"/>
      <c r="N298" s="50"/>
      <c r="O298" s="51"/>
      <c r="P298" s="49"/>
      <c r="Q298" s="51"/>
      <c r="R298" s="52"/>
      <c r="S298" s="49"/>
      <c r="T298" s="53"/>
      <c r="U298" s="48"/>
      <c r="V298" s="54"/>
    </row>
    <row r="299" spans="3:22" s="41" customFormat="1" ht="20.25" customHeight="1">
      <c r="C299" s="42">
        <f>+IF(E299&lt;&gt;0,MAX($C$1:C298)+1,"")</f>
        <v>271</v>
      </c>
      <c r="D299" s="43">
        <v>102105005</v>
      </c>
      <c r="E299" s="44" t="s">
        <v>137</v>
      </c>
      <c r="F299" s="45" t="s">
        <v>304</v>
      </c>
      <c r="G299" s="46">
        <v>44319</v>
      </c>
      <c r="H299" s="47" t="s">
        <v>24</v>
      </c>
      <c r="I299" s="48" t="s">
        <v>305</v>
      </c>
      <c r="J299" s="46"/>
      <c r="K299" s="49"/>
      <c r="L299" s="50"/>
      <c r="M299" s="50"/>
      <c r="N299" s="50"/>
      <c r="O299" s="51"/>
      <c r="P299" s="49"/>
      <c r="Q299" s="51"/>
      <c r="R299" s="52"/>
      <c r="S299" s="49"/>
      <c r="T299" s="53"/>
      <c r="U299" s="48"/>
      <c r="V299" s="54"/>
    </row>
    <row r="300" spans="3:22" s="41" customFormat="1" ht="20.25" customHeight="1">
      <c r="C300" s="42">
        <f>+IF(E300&lt;&gt;0,MAX($C$1:C299)+1,"")</f>
        <v>272</v>
      </c>
      <c r="D300" s="43">
        <v>110412005</v>
      </c>
      <c r="E300" s="44" t="s">
        <v>306</v>
      </c>
      <c r="F300" s="45" t="s">
        <v>307</v>
      </c>
      <c r="G300" s="46">
        <v>38342</v>
      </c>
      <c r="H300" s="47" t="s">
        <v>24</v>
      </c>
      <c r="I300" s="48" t="s">
        <v>305</v>
      </c>
      <c r="J300" s="46"/>
      <c r="K300" s="49"/>
      <c r="L300" s="50"/>
      <c r="M300" s="50"/>
      <c r="N300" s="50"/>
      <c r="O300" s="51"/>
      <c r="P300" s="49"/>
      <c r="Q300" s="51"/>
      <c r="R300" s="52"/>
      <c r="S300" s="49"/>
      <c r="T300" s="53"/>
      <c r="U300" s="48"/>
      <c r="V300" s="54"/>
    </row>
    <row r="301" spans="3:22" s="41" customFormat="1" ht="20.25" customHeight="1">
      <c r="C301" s="42">
        <f>+IF(E301&lt;&gt;0,MAX($C$1:C300)+1,"")</f>
        <v>273</v>
      </c>
      <c r="D301" s="43">
        <v>200305001</v>
      </c>
      <c r="E301" s="44" t="s">
        <v>310</v>
      </c>
      <c r="F301" s="45" t="s">
        <v>311</v>
      </c>
      <c r="G301" s="46">
        <v>37742</v>
      </c>
      <c r="H301" s="47" t="s">
        <v>24</v>
      </c>
      <c r="I301" s="48" t="s">
        <v>670</v>
      </c>
      <c r="J301" s="46"/>
      <c r="K301" s="49"/>
      <c r="L301" s="50"/>
      <c r="M301" s="50"/>
      <c r="N301" s="50"/>
      <c r="O301" s="51"/>
      <c r="P301" s="49"/>
      <c r="Q301" s="51"/>
      <c r="R301" s="52"/>
      <c r="S301" s="49"/>
      <c r="T301" s="53"/>
      <c r="U301" s="48"/>
      <c r="V301" s="54"/>
    </row>
    <row r="302" spans="3:22" s="41" customFormat="1" ht="20.25" customHeight="1">
      <c r="C302" s="42">
        <f>+IF(E302&lt;&gt;0,MAX($C$1:C301)+1,"")</f>
        <v>274</v>
      </c>
      <c r="D302" s="43">
        <v>209607001</v>
      </c>
      <c r="E302" s="44" t="s">
        <v>221</v>
      </c>
      <c r="F302" s="45" t="s">
        <v>308</v>
      </c>
      <c r="G302" s="46">
        <v>35247</v>
      </c>
      <c r="H302" s="47" t="s">
        <v>24</v>
      </c>
      <c r="I302" s="48" t="s">
        <v>671</v>
      </c>
      <c r="J302" s="46"/>
      <c r="K302" s="49"/>
      <c r="L302" s="50"/>
      <c r="M302" s="50"/>
      <c r="N302" s="50"/>
      <c r="O302" s="51"/>
      <c r="P302" s="49"/>
      <c r="Q302" s="51"/>
      <c r="R302" s="52"/>
      <c r="S302" s="49"/>
      <c r="T302" s="53"/>
      <c r="U302" s="48"/>
      <c r="V302" s="54"/>
    </row>
    <row r="303" spans="3:22" s="41" customFormat="1" ht="20.25" customHeight="1">
      <c r="C303" s="42">
        <f>+IF(E303&lt;&gt;0,MAX($C$1:C302)+1,"")</f>
        <v>275</v>
      </c>
      <c r="D303" s="43">
        <v>109907001</v>
      </c>
      <c r="E303" s="44" t="s">
        <v>309</v>
      </c>
      <c r="F303" s="45" t="s">
        <v>269</v>
      </c>
      <c r="G303" s="46">
        <v>36342</v>
      </c>
      <c r="H303" s="47" t="s">
        <v>24</v>
      </c>
      <c r="I303" s="48" t="s">
        <v>671</v>
      </c>
      <c r="J303" s="46"/>
      <c r="K303" s="49"/>
      <c r="L303" s="50"/>
      <c r="M303" s="50"/>
      <c r="N303" s="50"/>
      <c r="O303" s="51"/>
      <c r="P303" s="49"/>
      <c r="Q303" s="51"/>
      <c r="R303" s="52"/>
      <c r="S303" s="49"/>
      <c r="T303" s="53"/>
      <c r="U303" s="48"/>
      <c r="V303" s="54"/>
    </row>
    <row r="304" spans="3:22" s="41" customFormat="1" ht="20.25" customHeight="1">
      <c r="C304" s="42">
        <f>+IF(E304&lt;&gt;0,MAX($C$1:C303)+1,"")</f>
        <v>276</v>
      </c>
      <c r="D304" s="43">
        <v>100609002</v>
      </c>
      <c r="E304" s="44" t="s">
        <v>233</v>
      </c>
      <c r="F304" s="45" t="s">
        <v>234</v>
      </c>
      <c r="G304" s="46">
        <v>38971</v>
      </c>
      <c r="H304" s="47" t="s">
        <v>61</v>
      </c>
      <c r="I304" s="48" t="s">
        <v>642</v>
      </c>
      <c r="J304" s="46"/>
      <c r="K304" s="49"/>
      <c r="L304" s="50"/>
      <c r="M304" s="50"/>
      <c r="N304" s="50"/>
      <c r="O304" s="51"/>
      <c r="P304" s="49"/>
      <c r="Q304" s="51"/>
      <c r="R304" s="52"/>
      <c r="S304" s="49"/>
      <c r="T304" s="53"/>
      <c r="U304" s="48"/>
      <c r="V304" s="54"/>
    </row>
    <row r="305" spans="3:22" s="41" customFormat="1" ht="20.25" customHeight="1">
      <c r="C305" s="42">
        <f>+IF(E305&lt;&gt;0,MAX($C$1:C304)+1,"")</f>
        <v>277</v>
      </c>
      <c r="D305" s="43">
        <v>100405002</v>
      </c>
      <c r="E305" s="44" t="s">
        <v>235</v>
      </c>
      <c r="F305" s="45" t="s">
        <v>140</v>
      </c>
      <c r="G305" s="46">
        <v>38113</v>
      </c>
      <c r="H305" s="47" t="s">
        <v>31</v>
      </c>
      <c r="I305" s="48" t="s">
        <v>667</v>
      </c>
      <c r="J305" s="46"/>
      <c r="K305" s="49"/>
      <c r="L305" s="50"/>
      <c r="M305" s="50"/>
      <c r="N305" s="50"/>
      <c r="O305" s="51"/>
      <c r="P305" s="49"/>
      <c r="Q305" s="51"/>
      <c r="R305" s="52"/>
      <c r="S305" s="49"/>
      <c r="T305" s="53"/>
      <c r="U305" s="48"/>
      <c r="V305" s="54"/>
    </row>
    <row r="306" spans="3:22" s="41" customFormat="1" ht="20.25" customHeight="1">
      <c r="C306" s="42">
        <f>+IF(E306&lt;&gt;0,MAX($C$1:C305)+1,"")</f>
        <v>278</v>
      </c>
      <c r="D306" s="43">
        <v>681805003</v>
      </c>
      <c r="E306" s="44" t="s">
        <v>236</v>
      </c>
      <c r="F306" s="45" t="s">
        <v>237</v>
      </c>
      <c r="G306" s="46">
        <v>43227</v>
      </c>
      <c r="H306" s="47" t="s">
        <v>24</v>
      </c>
      <c r="I306" s="48" t="s">
        <v>667</v>
      </c>
      <c r="J306" s="46"/>
      <c r="K306" s="49"/>
      <c r="L306" s="50"/>
      <c r="M306" s="50"/>
      <c r="N306" s="50"/>
      <c r="O306" s="51"/>
      <c r="P306" s="49"/>
      <c r="Q306" s="51"/>
      <c r="R306" s="52"/>
      <c r="S306" s="49"/>
      <c r="T306" s="53"/>
      <c r="U306" s="48"/>
      <c r="V306" s="54"/>
    </row>
    <row r="307" spans="3:22" s="41" customFormat="1" ht="20.25" customHeight="1">
      <c r="C307" s="42">
        <f>+IF(E307&lt;&gt;0,MAX($C$1:C306)+1,"")</f>
        <v>279</v>
      </c>
      <c r="D307" s="43">
        <v>100408001</v>
      </c>
      <c r="E307" s="44" t="s">
        <v>238</v>
      </c>
      <c r="F307" s="45" t="s">
        <v>239</v>
      </c>
      <c r="G307" s="46">
        <v>38215</v>
      </c>
      <c r="H307" s="47" t="s">
        <v>24</v>
      </c>
      <c r="I307" s="48" t="s">
        <v>667</v>
      </c>
      <c r="J307" s="46"/>
      <c r="K307" s="49"/>
      <c r="L307" s="50"/>
      <c r="M307" s="50"/>
      <c r="N307" s="50"/>
      <c r="O307" s="51"/>
      <c r="P307" s="49"/>
      <c r="Q307" s="51"/>
      <c r="R307" s="52"/>
      <c r="S307" s="49"/>
      <c r="T307" s="53"/>
      <c r="U307" s="48"/>
      <c r="V307" s="54"/>
    </row>
    <row r="308" spans="3:22" s="41" customFormat="1" ht="20.25" customHeight="1">
      <c r="C308" s="42">
        <f>+IF(E308&lt;&gt;0,MAX($C$1:C307)+1,"")</f>
        <v>280</v>
      </c>
      <c r="D308" s="43">
        <v>101101001</v>
      </c>
      <c r="E308" s="44" t="s">
        <v>240</v>
      </c>
      <c r="F308" s="45" t="s">
        <v>212</v>
      </c>
      <c r="G308" s="46">
        <v>40550</v>
      </c>
      <c r="H308" s="47" t="s">
        <v>24</v>
      </c>
      <c r="I308" s="48" t="s">
        <v>667</v>
      </c>
      <c r="J308" s="46"/>
      <c r="K308" s="49"/>
      <c r="L308" s="50"/>
      <c r="M308" s="50"/>
      <c r="N308" s="50"/>
      <c r="O308" s="51"/>
      <c r="P308" s="49"/>
      <c r="Q308" s="51"/>
      <c r="R308" s="52"/>
      <c r="S308" s="49"/>
      <c r="T308" s="53"/>
      <c r="U308" s="48"/>
      <c r="V308" s="54"/>
    </row>
    <row r="309" spans="3:22" s="41" customFormat="1" ht="20.25" customHeight="1">
      <c r="C309" s="42">
        <f>+IF(E309&lt;&gt;0,MAX($C$1:C308)+1,"")</f>
        <v>281</v>
      </c>
      <c r="D309" s="43">
        <v>101309005</v>
      </c>
      <c r="E309" s="44" t="s">
        <v>241</v>
      </c>
      <c r="F309" s="45" t="s">
        <v>40</v>
      </c>
      <c r="G309" s="46">
        <v>41533</v>
      </c>
      <c r="H309" s="47" t="s">
        <v>24</v>
      </c>
      <c r="I309" s="48" t="s">
        <v>667</v>
      </c>
      <c r="J309" s="46"/>
      <c r="K309" s="49"/>
      <c r="L309" s="50"/>
      <c r="M309" s="50"/>
      <c r="N309" s="50"/>
      <c r="O309" s="51"/>
      <c r="P309" s="49"/>
      <c r="Q309" s="51"/>
      <c r="R309" s="52"/>
      <c r="S309" s="49"/>
      <c r="T309" s="53"/>
      <c r="U309" s="48"/>
      <c r="V309" s="54"/>
    </row>
    <row r="310" spans="3:22" s="41" customFormat="1" ht="20.25" customHeight="1">
      <c r="C310" s="42">
        <f>+IF(E310&lt;&gt;0,MAX($C$1:C309)+1,"")</f>
        <v>282</v>
      </c>
      <c r="D310" s="43">
        <v>100006005</v>
      </c>
      <c r="E310" s="44" t="s">
        <v>246</v>
      </c>
      <c r="F310" s="45" t="s">
        <v>58</v>
      </c>
      <c r="G310" s="46">
        <v>36678</v>
      </c>
      <c r="H310" s="47" t="s">
        <v>24</v>
      </c>
      <c r="I310" s="48" t="s">
        <v>669</v>
      </c>
      <c r="J310" s="46"/>
      <c r="K310" s="49"/>
      <c r="L310" s="50"/>
      <c r="M310" s="50"/>
      <c r="N310" s="50"/>
      <c r="O310" s="51"/>
      <c r="P310" s="49"/>
      <c r="Q310" s="51"/>
      <c r="R310" s="52"/>
      <c r="S310" s="49"/>
      <c r="T310" s="53"/>
      <c r="U310" s="48"/>
      <c r="V310" s="54"/>
    </row>
    <row r="311" spans="3:22" s="41" customFormat="1" ht="20.25" customHeight="1">
      <c r="C311" s="42">
        <f>+IF(E311&lt;&gt;0,MAX($C$1:C310)+1,"")</f>
        <v>283</v>
      </c>
      <c r="D311" s="43">
        <v>311706371</v>
      </c>
      <c r="E311" s="44" t="s">
        <v>242</v>
      </c>
      <c r="F311" s="45" t="s">
        <v>243</v>
      </c>
      <c r="G311" s="46">
        <v>42894</v>
      </c>
      <c r="H311" s="47" t="s">
        <v>24</v>
      </c>
      <c r="I311" s="48" t="s">
        <v>668</v>
      </c>
      <c r="J311" s="46"/>
      <c r="K311" s="49"/>
      <c r="L311" s="50"/>
      <c r="M311" s="50"/>
      <c r="N311" s="50"/>
      <c r="O311" s="51"/>
      <c r="P311" s="49"/>
      <c r="Q311" s="51"/>
      <c r="R311" s="52"/>
      <c r="S311" s="49"/>
      <c r="T311" s="53"/>
      <c r="U311" s="48"/>
      <c r="V311" s="54"/>
    </row>
    <row r="312" spans="3:22" s="41" customFormat="1" ht="20.25" customHeight="1">
      <c r="C312" s="42">
        <f>+IF(E312&lt;&gt;0,MAX($C$1:C311)+1,"")</f>
        <v>284</v>
      </c>
      <c r="D312" s="43">
        <v>210403002</v>
      </c>
      <c r="E312" s="44" t="s">
        <v>177</v>
      </c>
      <c r="F312" s="45" t="s">
        <v>178</v>
      </c>
      <c r="G312" s="46">
        <v>38055</v>
      </c>
      <c r="H312" s="47" t="s">
        <v>24</v>
      </c>
      <c r="I312" s="48" t="s">
        <v>668</v>
      </c>
      <c r="J312" s="46"/>
      <c r="K312" s="49"/>
      <c r="L312" s="50"/>
      <c r="M312" s="50"/>
      <c r="N312" s="50"/>
      <c r="O312" s="51"/>
      <c r="P312" s="49"/>
      <c r="Q312" s="51"/>
      <c r="R312" s="52"/>
      <c r="S312" s="49"/>
      <c r="T312" s="53"/>
      <c r="U312" s="48"/>
      <c r="V312" s="54"/>
    </row>
    <row r="313" spans="3:22" s="41" customFormat="1" ht="20.25" customHeight="1">
      <c r="C313" s="42">
        <f>+IF(E313&lt;&gt;0,MAX($C$1:C312)+1,"")</f>
        <v>285</v>
      </c>
      <c r="D313" s="43">
        <v>311805405</v>
      </c>
      <c r="E313" s="44" t="s">
        <v>66</v>
      </c>
      <c r="F313" s="45" t="s">
        <v>176</v>
      </c>
      <c r="G313" s="46">
        <v>43231</v>
      </c>
      <c r="H313" s="47" t="s">
        <v>24</v>
      </c>
      <c r="I313" s="48" t="s">
        <v>669</v>
      </c>
      <c r="J313" s="46"/>
      <c r="K313" s="49"/>
      <c r="L313" s="50"/>
      <c r="M313" s="50"/>
      <c r="N313" s="50"/>
      <c r="O313" s="51"/>
      <c r="P313" s="49"/>
      <c r="Q313" s="51"/>
      <c r="R313" s="52"/>
      <c r="S313" s="49"/>
      <c r="T313" s="53"/>
      <c r="U313" s="48"/>
      <c r="V313" s="54"/>
    </row>
    <row r="314" spans="3:22" s="41" customFormat="1" ht="20.25" customHeight="1">
      <c r="C314" s="42">
        <f>+IF(E314&lt;&gt;0,MAX($C$1:C313)+1,"")</f>
        <v>286</v>
      </c>
      <c r="D314" s="43">
        <v>311403082</v>
      </c>
      <c r="E314" s="44" t="s">
        <v>244</v>
      </c>
      <c r="F314" s="45" t="s">
        <v>245</v>
      </c>
      <c r="G314" s="46">
        <v>41716</v>
      </c>
      <c r="H314" s="47" t="s">
        <v>24</v>
      </c>
      <c r="I314" s="48" t="s">
        <v>668</v>
      </c>
      <c r="J314" s="46"/>
      <c r="K314" s="49"/>
      <c r="L314" s="50"/>
      <c r="M314" s="50"/>
      <c r="N314" s="50"/>
      <c r="O314" s="51"/>
      <c r="P314" s="49"/>
      <c r="Q314" s="51"/>
      <c r="R314" s="52"/>
      <c r="S314" s="49"/>
      <c r="T314" s="53"/>
      <c r="U314" s="48"/>
      <c r="V314" s="54"/>
    </row>
    <row r="315" spans="3:22" s="41" customFormat="1" ht="20.25" customHeight="1">
      <c r="C315" s="42">
        <f>+IF(E315&lt;&gt;0,MAX($C$1:C314)+1,"")</f>
        <v>287</v>
      </c>
      <c r="D315" s="43">
        <v>311610102</v>
      </c>
      <c r="E315" s="44" t="s">
        <v>66</v>
      </c>
      <c r="F315" s="45" t="s">
        <v>23</v>
      </c>
      <c r="G315" s="46">
        <v>42650</v>
      </c>
      <c r="H315" s="47" t="s">
        <v>24</v>
      </c>
      <c r="I315" s="48" t="s">
        <v>668</v>
      </c>
      <c r="J315" s="46"/>
      <c r="K315" s="49"/>
      <c r="L315" s="50"/>
      <c r="M315" s="50"/>
      <c r="N315" s="50"/>
      <c r="O315" s="51"/>
      <c r="P315" s="49"/>
      <c r="Q315" s="51"/>
      <c r="R315" s="52"/>
      <c r="S315" s="49"/>
      <c r="T315" s="53"/>
      <c r="U315" s="48"/>
      <c r="V315" s="54"/>
    </row>
    <row r="316" spans="3:22" s="41" customFormat="1" ht="20.25" customHeight="1">
      <c r="C316" s="42">
        <f>+IF(E316&lt;&gt;0,MAX($C$1:C315)+1,"")</f>
        <v>288</v>
      </c>
      <c r="D316" s="43">
        <v>101705016</v>
      </c>
      <c r="E316" s="44" t="s">
        <v>88</v>
      </c>
      <c r="F316" s="45" t="s">
        <v>247</v>
      </c>
      <c r="G316" s="46">
        <v>42870</v>
      </c>
      <c r="H316" s="47" t="s">
        <v>24</v>
      </c>
      <c r="I316" s="48" t="s">
        <v>667</v>
      </c>
      <c r="J316" s="46"/>
      <c r="K316" s="49"/>
      <c r="L316" s="50"/>
      <c r="M316" s="50"/>
      <c r="N316" s="50"/>
      <c r="O316" s="51"/>
      <c r="P316" s="49"/>
      <c r="Q316" s="51"/>
      <c r="R316" s="52"/>
      <c r="S316" s="49"/>
      <c r="T316" s="53"/>
      <c r="U316" s="48"/>
      <c r="V316" s="54"/>
    </row>
    <row r="317" spans="3:22" s="41" customFormat="1" ht="20.25" customHeight="1">
      <c r="C317" s="42">
        <f>+IF(E317&lt;&gt;0,MAX($C$1:C316)+1,"")</f>
        <v>289</v>
      </c>
      <c r="D317" s="43">
        <v>402102153</v>
      </c>
      <c r="E317" s="44" t="s">
        <v>244</v>
      </c>
      <c r="F317" s="45" t="s">
        <v>245</v>
      </c>
      <c r="G317" s="46">
        <v>44251</v>
      </c>
      <c r="H317" s="47" t="s">
        <v>24</v>
      </c>
      <c r="I317" s="48" t="s">
        <v>669</v>
      </c>
      <c r="J317" s="46"/>
      <c r="K317" s="49"/>
      <c r="L317" s="50"/>
      <c r="M317" s="50"/>
      <c r="N317" s="50"/>
      <c r="O317" s="51"/>
      <c r="P317" s="49"/>
      <c r="Q317" s="51"/>
      <c r="R317" s="52"/>
      <c r="S317" s="49"/>
      <c r="T317" s="53"/>
      <c r="U317" s="48"/>
      <c r="V317" s="54"/>
    </row>
    <row r="318" spans="3:22" s="41" customFormat="1" ht="20.25" customHeight="1">
      <c r="C318" s="42">
        <f>+IF(E318&lt;&gt;0,MAX($C$1:C317)+1,"")</f>
        <v>290</v>
      </c>
      <c r="D318" s="43">
        <v>401506034</v>
      </c>
      <c r="E318" s="44" t="s">
        <v>248</v>
      </c>
      <c r="F318" s="45" t="s">
        <v>140</v>
      </c>
      <c r="G318" s="46">
        <v>42175</v>
      </c>
      <c r="H318" s="47" t="s">
        <v>24</v>
      </c>
      <c r="I318" s="48" t="s">
        <v>669</v>
      </c>
      <c r="J318" s="46"/>
      <c r="K318" s="49"/>
      <c r="L318" s="50"/>
      <c r="M318" s="50"/>
      <c r="N318" s="50"/>
      <c r="O318" s="51"/>
      <c r="P318" s="49"/>
      <c r="Q318" s="51"/>
      <c r="R318" s="52"/>
      <c r="S318" s="49"/>
      <c r="T318" s="53"/>
      <c r="U318" s="48"/>
      <c r="V318" s="54"/>
    </row>
    <row r="319" spans="3:22" s="41" customFormat="1" ht="20.25" customHeight="1">
      <c r="C319" s="42">
        <f>+IF(E319&lt;&gt;0,MAX($C$1:C318)+1,"")</f>
        <v>291</v>
      </c>
      <c r="D319" s="43">
        <v>402305317</v>
      </c>
      <c r="E319" s="44" t="s">
        <v>244</v>
      </c>
      <c r="F319" s="45" t="s">
        <v>56</v>
      </c>
      <c r="G319" s="46">
        <v>45075</v>
      </c>
      <c r="H319" s="47" t="s">
        <v>24</v>
      </c>
      <c r="I319" s="48" t="s">
        <v>669</v>
      </c>
      <c r="J319" s="46"/>
      <c r="K319" s="49"/>
      <c r="L319" s="50"/>
      <c r="M319" s="50"/>
      <c r="N319" s="50"/>
      <c r="O319" s="51"/>
      <c r="P319" s="49"/>
      <c r="Q319" s="51"/>
      <c r="R319" s="52"/>
      <c r="S319" s="49"/>
      <c r="T319" s="53"/>
      <c r="U319" s="48"/>
      <c r="V319" s="54"/>
    </row>
    <row r="320" spans="3:22" s="41" customFormat="1" ht="20.25" customHeight="1">
      <c r="C320" s="42">
        <f>+IF(E320&lt;&gt;0,MAX($C$1:C319)+1,"")</f>
        <v>292</v>
      </c>
      <c r="D320" s="43">
        <v>401608075</v>
      </c>
      <c r="E320" s="44" t="s">
        <v>249</v>
      </c>
      <c r="F320" s="45" t="s">
        <v>250</v>
      </c>
      <c r="G320" s="46">
        <v>42598</v>
      </c>
      <c r="H320" s="47" t="s">
        <v>24</v>
      </c>
      <c r="I320" s="48" t="s">
        <v>669</v>
      </c>
      <c r="J320" s="46"/>
      <c r="K320" s="49"/>
      <c r="L320" s="50"/>
      <c r="M320" s="50"/>
      <c r="N320" s="50"/>
      <c r="O320" s="51"/>
      <c r="P320" s="49"/>
      <c r="Q320" s="51"/>
      <c r="R320" s="52"/>
      <c r="S320" s="49"/>
      <c r="T320" s="53"/>
      <c r="U320" s="48"/>
      <c r="V320" s="54"/>
    </row>
    <row r="321" spans="3:22" s="41" customFormat="1" ht="20.25" customHeight="1">
      <c r="C321" s="42">
        <f>+IF(E321&lt;&gt;0,MAX($C$1:C320)+1,"")</f>
        <v>293</v>
      </c>
      <c r="D321" s="43">
        <v>402403073</v>
      </c>
      <c r="E321" s="44" t="s">
        <v>251</v>
      </c>
      <c r="F321" s="45" t="s">
        <v>104</v>
      </c>
      <c r="G321" s="46">
        <v>45355</v>
      </c>
      <c r="H321" s="47" t="s">
        <v>24</v>
      </c>
      <c r="I321" s="48" t="s">
        <v>668</v>
      </c>
      <c r="J321" s="46"/>
      <c r="K321" s="49"/>
      <c r="L321" s="50"/>
      <c r="M321" s="50"/>
      <c r="N321" s="50"/>
      <c r="O321" s="51"/>
      <c r="P321" s="49"/>
      <c r="Q321" s="51"/>
      <c r="R321" s="52"/>
      <c r="S321" s="49"/>
      <c r="T321" s="53"/>
      <c r="U321" s="48"/>
      <c r="V321" s="54"/>
    </row>
    <row r="322" spans="3:22" s="41" customFormat="1" ht="20.25" customHeight="1">
      <c r="C322" s="42">
        <f>+IF(E322&lt;&gt;0,MAX($C$1:C321)+1,"")</f>
        <v>294</v>
      </c>
      <c r="D322" s="43">
        <v>402403074</v>
      </c>
      <c r="E322" s="44" t="s">
        <v>252</v>
      </c>
      <c r="F322" s="45" t="s">
        <v>218</v>
      </c>
      <c r="G322" s="46">
        <v>45355</v>
      </c>
      <c r="H322" s="47" t="s">
        <v>24</v>
      </c>
      <c r="I322" s="48" t="s">
        <v>668</v>
      </c>
      <c r="J322" s="46"/>
      <c r="K322" s="49"/>
      <c r="L322" s="50"/>
      <c r="M322" s="50"/>
      <c r="N322" s="50"/>
      <c r="O322" s="51"/>
      <c r="P322" s="49"/>
      <c r="Q322" s="51"/>
      <c r="R322" s="52"/>
      <c r="S322" s="49"/>
      <c r="T322" s="53"/>
      <c r="U322" s="48"/>
      <c r="V322" s="54"/>
    </row>
    <row r="323" spans="3:22" s="41" customFormat="1" ht="20.25" customHeight="1">
      <c r="C323" s="42">
        <f>+IF(E323&lt;&gt;0,MAX($C$1:C322)+1,"")</f>
        <v>295</v>
      </c>
      <c r="D323" s="43">
        <v>712104001</v>
      </c>
      <c r="E323" s="44" t="s">
        <v>255</v>
      </c>
      <c r="F323" s="45" t="s">
        <v>67</v>
      </c>
      <c r="G323" s="46">
        <v>44287</v>
      </c>
      <c r="H323" s="47" t="s">
        <v>61</v>
      </c>
      <c r="I323" s="48" t="s">
        <v>642</v>
      </c>
      <c r="J323" s="46"/>
      <c r="K323" s="49"/>
      <c r="L323" s="50"/>
      <c r="M323" s="50"/>
      <c r="N323" s="50"/>
      <c r="O323" s="51"/>
      <c r="P323" s="49"/>
      <c r="Q323" s="51"/>
      <c r="R323" s="52"/>
      <c r="S323" s="49"/>
      <c r="T323" s="53"/>
      <c r="U323" s="48"/>
      <c r="V323" s="54"/>
    </row>
    <row r="324" spans="3:22" s="41" customFormat="1" ht="20.25" customHeight="1">
      <c r="C324" s="42">
        <f>+IF(E324&lt;&gt;0,MAX($C$1:C323)+1,"")</f>
        <v>296</v>
      </c>
      <c r="D324" s="43">
        <v>712102002</v>
      </c>
      <c r="E324" s="44" t="s">
        <v>260</v>
      </c>
      <c r="F324" s="45" t="s">
        <v>261</v>
      </c>
      <c r="G324" s="46">
        <v>44249</v>
      </c>
      <c r="H324" s="47" t="s">
        <v>24</v>
      </c>
      <c r="I324" s="48" t="s">
        <v>668</v>
      </c>
      <c r="J324" s="46"/>
      <c r="K324" s="49"/>
      <c r="L324" s="50"/>
      <c r="M324" s="50"/>
      <c r="N324" s="50"/>
      <c r="O324" s="51"/>
      <c r="P324" s="49"/>
      <c r="Q324" s="51"/>
      <c r="R324" s="52"/>
      <c r="S324" s="49"/>
      <c r="T324" s="53"/>
      <c r="U324" s="48"/>
      <c r="V324" s="54"/>
    </row>
    <row r="325" spans="3:22" s="41" customFormat="1" ht="20.25" customHeight="1">
      <c r="C325" s="42">
        <f>+IF(E325&lt;&gt;0,MAX($C$1:C324)+1,"")</f>
        <v>297</v>
      </c>
      <c r="D325" s="43">
        <v>712106161</v>
      </c>
      <c r="E325" s="44" t="s">
        <v>84</v>
      </c>
      <c r="F325" s="45" t="s">
        <v>259</v>
      </c>
      <c r="G325" s="46">
        <v>44361</v>
      </c>
      <c r="H325" s="47" t="s">
        <v>24</v>
      </c>
      <c r="I325" s="48" t="s">
        <v>668</v>
      </c>
      <c r="J325" s="46"/>
      <c r="K325" s="49"/>
      <c r="L325" s="50"/>
      <c r="M325" s="50"/>
      <c r="N325" s="50"/>
      <c r="O325" s="51"/>
      <c r="P325" s="49"/>
      <c r="Q325" s="51"/>
      <c r="R325" s="52"/>
      <c r="S325" s="49"/>
      <c r="T325" s="53"/>
      <c r="U325" s="48"/>
      <c r="V325" s="54"/>
    </row>
    <row r="326" spans="3:22" s="41" customFormat="1" ht="20.25" customHeight="1">
      <c r="C326" s="42">
        <f>+IF(E326&lt;&gt;0,MAX($C$1:C325)+1,"")</f>
        <v>298</v>
      </c>
      <c r="D326" s="43">
        <v>712106265</v>
      </c>
      <c r="E326" s="44" t="s">
        <v>258</v>
      </c>
      <c r="F326" s="45" t="s">
        <v>151</v>
      </c>
      <c r="G326" s="46">
        <v>44365</v>
      </c>
      <c r="H326" s="47" t="s">
        <v>24</v>
      </c>
      <c r="I326" s="48" t="s">
        <v>668</v>
      </c>
      <c r="J326" s="46"/>
      <c r="K326" s="49"/>
      <c r="L326" s="50"/>
      <c r="M326" s="50"/>
      <c r="N326" s="50"/>
      <c r="O326" s="51"/>
      <c r="P326" s="49"/>
      <c r="Q326" s="51"/>
      <c r="R326" s="52"/>
      <c r="S326" s="49"/>
      <c r="T326" s="53"/>
      <c r="U326" s="48"/>
      <c r="V326" s="54"/>
    </row>
    <row r="327" spans="3:22" s="41" customFormat="1" ht="20.25" customHeight="1">
      <c r="C327" s="42">
        <f>+IF(E327&lt;&gt;0,MAX($C$1:C326)+1,"")</f>
        <v>299</v>
      </c>
      <c r="D327" s="43">
        <v>712106264</v>
      </c>
      <c r="E327" s="44" t="s">
        <v>317</v>
      </c>
      <c r="F327" s="45" t="s">
        <v>108</v>
      </c>
      <c r="G327" s="46">
        <v>44365</v>
      </c>
      <c r="H327" s="47" t="s">
        <v>24</v>
      </c>
      <c r="I327" s="48" t="s">
        <v>668</v>
      </c>
      <c r="J327" s="46"/>
      <c r="K327" s="49"/>
      <c r="L327" s="50"/>
      <c r="M327" s="50"/>
      <c r="N327" s="50"/>
      <c r="O327" s="51"/>
      <c r="P327" s="49"/>
      <c r="Q327" s="51"/>
      <c r="R327" s="52"/>
      <c r="S327" s="49"/>
      <c r="T327" s="53"/>
      <c r="U327" s="48"/>
      <c r="V327" s="54"/>
    </row>
    <row r="328" spans="3:22" s="41" customFormat="1" ht="20.25" customHeight="1">
      <c r="C328" s="42">
        <f>+IF(E328&lt;&gt;0,MAX($C$1:C327)+1,"")</f>
        <v>300</v>
      </c>
      <c r="D328" s="43">
        <v>712106273</v>
      </c>
      <c r="E328" s="44" t="s">
        <v>263</v>
      </c>
      <c r="F328" s="45" t="s">
        <v>178</v>
      </c>
      <c r="G328" s="46">
        <v>44368</v>
      </c>
      <c r="H328" s="47" t="s">
        <v>24</v>
      </c>
      <c r="I328" s="48" t="s">
        <v>668</v>
      </c>
      <c r="J328" s="46"/>
      <c r="K328" s="49"/>
      <c r="L328" s="50"/>
      <c r="M328" s="50"/>
      <c r="N328" s="50"/>
      <c r="O328" s="51"/>
      <c r="P328" s="49"/>
      <c r="Q328" s="51"/>
      <c r="R328" s="52"/>
      <c r="S328" s="49"/>
      <c r="T328" s="53"/>
      <c r="U328" s="48"/>
      <c r="V328" s="54"/>
    </row>
    <row r="329" spans="3:22" s="41" customFormat="1" ht="20.25" customHeight="1">
      <c r="C329" s="42">
        <f>+IF(E329&lt;&gt;0,MAX($C$1:C328)+1,"")</f>
        <v>301</v>
      </c>
      <c r="D329" s="43">
        <v>712106238</v>
      </c>
      <c r="E329" s="44" t="s">
        <v>262</v>
      </c>
      <c r="F329" s="45" t="s">
        <v>245</v>
      </c>
      <c r="G329" s="46">
        <v>44364</v>
      </c>
      <c r="H329" s="47" t="s">
        <v>24</v>
      </c>
      <c r="I329" s="48" t="s">
        <v>668</v>
      </c>
      <c r="J329" s="46"/>
      <c r="K329" s="49"/>
      <c r="L329" s="50"/>
      <c r="M329" s="50"/>
      <c r="N329" s="50"/>
      <c r="O329" s="51"/>
      <c r="P329" s="49"/>
      <c r="Q329" s="51"/>
      <c r="R329" s="52"/>
      <c r="S329" s="49"/>
      <c r="T329" s="53"/>
      <c r="U329" s="48"/>
      <c r="V329" s="54"/>
    </row>
    <row r="330" spans="3:22" s="41" customFormat="1" ht="20.25" customHeight="1">
      <c r="C330" s="42">
        <f>+IF(E330&lt;&gt;0,MAX($C$1:C329)+1,"")</f>
        <v>302</v>
      </c>
      <c r="D330" s="43">
        <v>712101022</v>
      </c>
      <c r="E330" s="44" t="s">
        <v>256</v>
      </c>
      <c r="F330" s="45" t="s">
        <v>257</v>
      </c>
      <c r="G330" s="46">
        <v>44215</v>
      </c>
      <c r="H330" s="47" t="s">
        <v>24</v>
      </c>
      <c r="I330" s="48" t="s">
        <v>668</v>
      </c>
      <c r="J330" s="46"/>
      <c r="K330" s="49"/>
      <c r="L330" s="50"/>
      <c r="M330" s="50"/>
      <c r="N330" s="50"/>
      <c r="O330" s="51"/>
      <c r="P330" s="49"/>
      <c r="Q330" s="51"/>
      <c r="R330" s="52"/>
      <c r="S330" s="49"/>
      <c r="T330" s="53"/>
      <c r="U330" s="48"/>
      <c r="V330" s="54"/>
    </row>
    <row r="331" spans="3:22" s="41" customFormat="1" ht="20.25" customHeight="1">
      <c r="C331" s="42">
        <f>+IF(E331&lt;&gt;0,MAX($C$1:C330)+1,"")</f>
        <v>303</v>
      </c>
      <c r="D331" s="43">
        <v>712111558</v>
      </c>
      <c r="E331" s="44" t="s">
        <v>264</v>
      </c>
      <c r="F331" s="45" t="s">
        <v>74</v>
      </c>
      <c r="G331" s="46">
        <v>44522</v>
      </c>
      <c r="H331" s="47" t="s">
        <v>24</v>
      </c>
      <c r="I331" s="48" t="s">
        <v>668</v>
      </c>
      <c r="J331" s="46"/>
      <c r="K331" s="49"/>
      <c r="L331" s="50"/>
      <c r="M331" s="50"/>
      <c r="N331" s="50"/>
      <c r="O331" s="51"/>
      <c r="P331" s="49"/>
      <c r="Q331" s="51"/>
      <c r="R331" s="52"/>
      <c r="S331" s="49"/>
      <c r="T331" s="53"/>
      <c r="U331" s="48"/>
      <c r="V331" s="54"/>
    </row>
    <row r="332" spans="3:22" s="41" customFormat="1" ht="20.25" customHeight="1">
      <c r="C332" s="42">
        <f>+IF(E332&lt;&gt;0,MAX($C$1:C331)+1,"")</f>
        <v>304</v>
      </c>
      <c r="D332" s="43">
        <v>732211003</v>
      </c>
      <c r="E332" s="44" t="s">
        <v>267</v>
      </c>
      <c r="F332" s="45" t="s">
        <v>268</v>
      </c>
      <c r="G332" s="46">
        <v>44872</v>
      </c>
      <c r="H332" s="47" t="s">
        <v>24</v>
      </c>
      <c r="I332" s="48" t="s">
        <v>668</v>
      </c>
      <c r="J332" s="46"/>
      <c r="K332" s="49"/>
      <c r="L332" s="50"/>
      <c r="M332" s="50"/>
      <c r="N332" s="50"/>
      <c r="O332" s="51"/>
      <c r="P332" s="49"/>
      <c r="Q332" s="51"/>
      <c r="R332" s="52"/>
      <c r="S332" s="49"/>
      <c r="T332" s="53"/>
      <c r="U332" s="48"/>
      <c r="V332" s="54"/>
    </row>
    <row r="333" spans="3:22" s="41" customFormat="1" ht="20.25" customHeight="1">
      <c r="C333" s="42">
        <f>+IF(E333&lt;&gt;0,MAX($C$1:C332)+1,"")</f>
        <v>305</v>
      </c>
      <c r="D333" s="43">
        <v>102405002</v>
      </c>
      <c r="E333" s="44" t="s">
        <v>260</v>
      </c>
      <c r="F333" s="45" t="s">
        <v>269</v>
      </c>
      <c r="G333" s="46">
        <v>45414</v>
      </c>
      <c r="H333" s="47" t="s">
        <v>24</v>
      </c>
      <c r="I333" s="48" t="s">
        <v>668</v>
      </c>
      <c r="J333" s="46"/>
      <c r="K333" s="49"/>
      <c r="L333" s="50"/>
      <c r="M333" s="50"/>
      <c r="N333" s="50"/>
      <c r="O333" s="51"/>
      <c r="P333" s="49"/>
      <c r="Q333" s="51"/>
      <c r="R333" s="52"/>
      <c r="S333" s="49"/>
      <c r="T333" s="53"/>
      <c r="U333" s="48"/>
      <c r="V333" s="54"/>
    </row>
    <row r="334" spans="3:22" s="41" customFormat="1" ht="20.25" customHeight="1">
      <c r="C334" s="42">
        <f>+IF(E334&lt;&gt;0,MAX($C$1:C333)+1,"")</f>
        <v>306</v>
      </c>
      <c r="D334" s="43">
        <v>102405003</v>
      </c>
      <c r="E334" s="44" t="s">
        <v>270</v>
      </c>
      <c r="F334" s="45" t="s">
        <v>92</v>
      </c>
      <c r="G334" s="46">
        <v>45414</v>
      </c>
      <c r="H334" s="47" t="s">
        <v>24</v>
      </c>
      <c r="I334" s="48" t="s">
        <v>668</v>
      </c>
      <c r="J334" s="46"/>
      <c r="K334" s="49"/>
      <c r="L334" s="50"/>
      <c r="M334" s="50"/>
      <c r="N334" s="50"/>
      <c r="O334" s="51"/>
      <c r="P334" s="49"/>
      <c r="Q334" s="51"/>
      <c r="R334" s="52"/>
      <c r="S334" s="49"/>
      <c r="T334" s="53"/>
      <c r="U334" s="48"/>
      <c r="V334" s="54"/>
    </row>
    <row r="335" spans="3:22" s="41" customFormat="1" ht="20.25" customHeight="1">
      <c r="C335" s="42">
        <f>+IF(E335&lt;&gt;0,MAX($C$1:C334)+1,"")</f>
        <v>307</v>
      </c>
      <c r="D335" s="43">
        <v>732106101</v>
      </c>
      <c r="E335" s="44" t="s">
        <v>265</v>
      </c>
      <c r="F335" s="45" t="s">
        <v>58</v>
      </c>
      <c r="G335" s="46">
        <v>44354</v>
      </c>
      <c r="H335" s="47" t="s">
        <v>24</v>
      </c>
      <c r="I335" s="48" t="s">
        <v>668</v>
      </c>
      <c r="J335" s="46"/>
      <c r="K335" s="49"/>
      <c r="L335" s="50"/>
      <c r="M335" s="50"/>
      <c r="N335" s="50"/>
      <c r="O335" s="51"/>
      <c r="P335" s="49"/>
      <c r="Q335" s="51"/>
      <c r="R335" s="52"/>
      <c r="S335" s="49"/>
      <c r="T335" s="53"/>
      <c r="U335" s="48"/>
      <c r="V335" s="54"/>
    </row>
    <row r="336" spans="3:22" s="41" customFormat="1" ht="20.25" customHeight="1">
      <c r="C336" s="42">
        <f>+IF(E336&lt;&gt;0,MAX($C$1:C335)+1,"")</f>
        <v>308</v>
      </c>
      <c r="D336" s="43">
        <v>100406001</v>
      </c>
      <c r="E336" s="44" t="s">
        <v>271</v>
      </c>
      <c r="F336" s="45" t="s">
        <v>110</v>
      </c>
      <c r="G336" s="46">
        <v>38139</v>
      </c>
      <c r="H336" s="47" t="s">
        <v>61</v>
      </c>
      <c r="I336" s="48" t="s">
        <v>642</v>
      </c>
      <c r="J336" s="46"/>
      <c r="K336" s="49"/>
      <c r="L336" s="50"/>
      <c r="M336" s="50"/>
      <c r="N336" s="50"/>
      <c r="O336" s="51"/>
      <c r="P336" s="49"/>
      <c r="Q336" s="51"/>
      <c r="R336" s="52"/>
      <c r="S336" s="49"/>
      <c r="T336" s="53"/>
      <c r="U336" s="48"/>
      <c r="V336" s="54"/>
    </row>
    <row r="337" spans="3:22" s="41" customFormat="1" ht="20.25" customHeight="1">
      <c r="C337" s="42">
        <f>+IF(E337&lt;&gt;0,MAX($C$1:C336)+1,"")</f>
        <v>309</v>
      </c>
      <c r="D337" s="43">
        <v>102506016</v>
      </c>
      <c r="E337" s="44" t="s">
        <v>612</v>
      </c>
      <c r="F337" s="45" t="s">
        <v>97</v>
      </c>
      <c r="G337" s="46">
        <v>45818</v>
      </c>
      <c r="H337" s="47" t="s">
        <v>24</v>
      </c>
      <c r="I337" s="48" t="s">
        <v>669</v>
      </c>
      <c r="J337" s="46"/>
      <c r="K337" s="49"/>
      <c r="L337" s="50"/>
      <c r="M337" s="50"/>
      <c r="N337" s="50"/>
      <c r="O337" s="51"/>
      <c r="P337" s="49"/>
      <c r="Q337" s="51"/>
      <c r="R337" s="52"/>
      <c r="S337" s="49"/>
      <c r="T337" s="53"/>
      <c r="U337" s="48"/>
      <c r="V337" s="54"/>
    </row>
    <row r="338" spans="3:22" s="41" customFormat="1" ht="20.25" customHeight="1">
      <c r="C338" s="42">
        <f>+IF(E338&lt;&gt;0,MAX($C$1:C337)+1,"")</f>
        <v>310</v>
      </c>
      <c r="D338" s="43">
        <v>681803003</v>
      </c>
      <c r="E338" s="44" t="s">
        <v>272</v>
      </c>
      <c r="F338" s="45" t="s">
        <v>92</v>
      </c>
      <c r="G338" s="46">
        <v>43185</v>
      </c>
      <c r="H338" s="47" t="s">
        <v>24</v>
      </c>
      <c r="I338" s="48" t="s">
        <v>667</v>
      </c>
      <c r="J338" s="46"/>
      <c r="K338" s="49"/>
      <c r="L338" s="50"/>
      <c r="M338" s="50"/>
      <c r="N338" s="50"/>
      <c r="O338" s="51"/>
      <c r="P338" s="49"/>
      <c r="Q338" s="51"/>
      <c r="R338" s="52"/>
      <c r="S338" s="49"/>
      <c r="T338" s="53"/>
      <c r="U338" s="48"/>
      <c r="V338" s="54"/>
    </row>
    <row r="339" spans="3:22" s="41" customFormat="1" ht="20.25" customHeight="1">
      <c r="C339" s="42">
        <f>+IF(E339&lt;&gt;0,MAX($C$1:C338)+1,"")</f>
        <v>311</v>
      </c>
      <c r="D339" s="43">
        <v>141708090</v>
      </c>
      <c r="E339" s="44" t="s">
        <v>273</v>
      </c>
      <c r="F339" s="45" t="s">
        <v>106</v>
      </c>
      <c r="G339" s="46">
        <v>42961</v>
      </c>
      <c r="H339" s="47" t="s">
        <v>24</v>
      </c>
      <c r="I339" s="48" t="s">
        <v>668</v>
      </c>
      <c r="J339" s="46"/>
      <c r="K339" s="49"/>
      <c r="L339" s="50"/>
      <c r="M339" s="50"/>
      <c r="N339" s="50"/>
      <c r="O339" s="51"/>
      <c r="P339" s="49"/>
      <c r="Q339" s="51"/>
      <c r="R339" s="52"/>
      <c r="S339" s="49"/>
      <c r="T339" s="53"/>
      <c r="U339" s="48"/>
      <c r="V339" s="54"/>
    </row>
    <row r="340" spans="3:22" s="41" customFormat="1" ht="20.25" customHeight="1">
      <c r="C340" s="42">
        <f>+IF(E340&lt;&gt;0,MAX($C$1:C339)+1,"")</f>
        <v>312</v>
      </c>
      <c r="D340" s="43">
        <v>100007001</v>
      </c>
      <c r="E340" s="44" t="s">
        <v>274</v>
      </c>
      <c r="F340" s="45" t="s">
        <v>212</v>
      </c>
      <c r="G340" s="46">
        <v>36708</v>
      </c>
      <c r="H340" s="47" t="s">
        <v>24</v>
      </c>
      <c r="I340" s="48" t="s">
        <v>667</v>
      </c>
      <c r="J340" s="46"/>
      <c r="K340" s="49"/>
      <c r="L340" s="50"/>
      <c r="M340" s="50"/>
      <c r="N340" s="50"/>
      <c r="O340" s="51"/>
      <c r="P340" s="49"/>
      <c r="Q340" s="51"/>
      <c r="R340" s="52"/>
      <c r="S340" s="49"/>
      <c r="T340" s="53"/>
      <c r="U340" s="48"/>
      <c r="V340" s="54"/>
    </row>
    <row r="341" spans="3:22" s="41" customFormat="1" ht="20.25" customHeight="1">
      <c r="C341" s="42">
        <f>+IF(E341&lt;&gt;0,MAX($C$1:C340)+1,"")</f>
        <v>313</v>
      </c>
      <c r="D341" s="43">
        <v>100503001</v>
      </c>
      <c r="E341" s="44" t="s">
        <v>277</v>
      </c>
      <c r="F341" s="45" t="s">
        <v>278</v>
      </c>
      <c r="G341" s="46">
        <v>38412</v>
      </c>
      <c r="H341" s="47" t="s">
        <v>24</v>
      </c>
      <c r="I341" s="48" t="s">
        <v>667</v>
      </c>
      <c r="J341" s="46"/>
      <c r="K341" s="49"/>
      <c r="L341" s="50"/>
      <c r="M341" s="50"/>
      <c r="N341" s="50"/>
      <c r="O341" s="51"/>
      <c r="P341" s="49"/>
      <c r="Q341" s="51"/>
      <c r="R341" s="52"/>
      <c r="S341" s="49"/>
      <c r="T341" s="53"/>
      <c r="U341" s="48"/>
      <c r="V341" s="54"/>
    </row>
    <row r="342" spans="3:22" s="41" customFormat="1" ht="20.25" customHeight="1">
      <c r="C342" s="42">
        <f>+IF(E342&lt;&gt;0,MAX($C$1:C341)+1,"")</f>
        <v>314</v>
      </c>
      <c r="D342" s="43">
        <v>100804005</v>
      </c>
      <c r="E342" s="44" t="s">
        <v>275</v>
      </c>
      <c r="F342" s="45" t="s">
        <v>276</v>
      </c>
      <c r="G342" s="46">
        <v>39564</v>
      </c>
      <c r="H342" s="47" t="s">
        <v>24</v>
      </c>
      <c r="I342" s="48" t="s">
        <v>669</v>
      </c>
      <c r="J342" s="46"/>
      <c r="K342" s="49"/>
      <c r="L342" s="50"/>
      <c r="M342" s="50"/>
      <c r="N342" s="50"/>
      <c r="O342" s="51"/>
      <c r="P342" s="49"/>
      <c r="Q342" s="51"/>
      <c r="R342" s="52"/>
      <c r="S342" s="49"/>
      <c r="T342" s="53"/>
      <c r="U342" s="48"/>
      <c r="V342" s="54"/>
    </row>
    <row r="343" spans="3:22" s="41" customFormat="1" ht="20.25" customHeight="1">
      <c r="C343" s="42">
        <f>+IF(E343&lt;&gt;0,MAX($C$1:C342)+1,"")</f>
        <v>315</v>
      </c>
      <c r="D343" s="43">
        <v>311402086</v>
      </c>
      <c r="E343" s="44" t="s">
        <v>53</v>
      </c>
      <c r="F343" s="45" t="s">
        <v>151</v>
      </c>
      <c r="G343" s="46">
        <v>41684</v>
      </c>
      <c r="H343" s="47" t="s">
        <v>24</v>
      </c>
      <c r="I343" s="48" t="s">
        <v>668</v>
      </c>
      <c r="J343" s="46"/>
      <c r="K343" s="49"/>
      <c r="L343" s="50"/>
      <c r="M343" s="50"/>
      <c r="N343" s="50"/>
      <c r="O343" s="51"/>
      <c r="P343" s="49"/>
      <c r="Q343" s="51"/>
      <c r="R343" s="52"/>
      <c r="S343" s="49"/>
      <c r="T343" s="53"/>
      <c r="U343" s="48"/>
      <c r="V343" s="54"/>
    </row>
    <row r="344" spans="3:22" s="41" customFormat="1" ht="20.25" customHeight="1">
      <c r="C344" s="42">
        <f>+IF(E344&lt;&gt;0,MAX($C$1:C343)+1,"")</f>
        <v>316</v>
      </c>
      <c r="D344" s="43">
        <v>100705001</v>
      </c>
      <c r="E344" s="44" t="s">
        <v>279</v>
      </c>
      <c r="F344" s="45" t="s">
        <v>172</v>
      </c>
      <c r="G344" s="46">
        <v>39212</v>
      </c>
      <c r="H344" s="47" t="s">
        <v>31</v>
      </c>
      <c r="I344" s="48" t="s">
        <v>642</v>
      </c>
      <c r="J344" s="46"/>
      <c r="K344" s="49"/>
      <c r="L344" s="50"/>
      <c r="M344" s="50"/>
      <c r="N344" s="50"/>
      <c r="O344" s="51"/>
      <c r="P344" s="49"/>
      <c r="Q344" s="51"/>
      <c r="R344" s="52"/>
      <c r="S344" s="49"/>
      <c r="T344" s="53"/>
      <c r="U344" s="48"/>
      <c r="V344" s="54"/>
    </row>
    <row r="345" spans="3:22" s="41" customFormat="1" ht="20.25" customHeight="1">
      <c r="C345" s="42">
        <f>+IF(E345&lt;&gt;0,MAX($C$1:C344)+1,"")</f>
        <v>317</v>
      </c>
      <c r="D345" s="43">
        <v>311209051</v>
      </c>
      <c r="E345" s="44" t="s">
        <v>84</v>
      </c>
      <c r="F345" s="45" t="s">
        <v>280</v>
      </c>
      <c r="G345" s="46">
        <v>41178</v>
      </c>
      <c r="H345" s="47" t="s">
        <v>24</v>
      </c>
      <c r="I345" s="48" t="s">
        <v>669</v>
      </c>
      <c r="J345" s="46"/>
      <c r="K345" s="49"/>
      <c r="L345" s="50"/>
      <c r="M345" s="50"/>
      <c r="N345" s="50"/>
      <c r="O345" s="51"/>
      <c r="P345" s="49"/>
      <c r="Q345" s="51"/>
      <c r="R345" s="52"/>
      <c r="S345" s="49"/>
      <c r="T345" s="53"/>
      <c r="U345" s="48"/>
      <c r="V345" s="54"/>
    </row>
    <row r="346" spans="3:22" s="41" customFormat="1" ht="20.25" customHeight="1">
      <c r="C346" s="42">
        <f>+IF(E346&lt;&gt;0,MAX($C$1:C345)+1,"")</f>
        <v>318</v>
      </c>
      <c r="D346" s="43">
        <v>311208047</v>
      </c>
      <c r="E346" s="44" t="s">
        <v>283</v>
      </c>
      <c r="F346" s="45" t="s">
        <v>169</v>
      </c>
      <c r="G346" s="46">
        <v>41144</v>
      </c>
      <c r="H346" s="47" t="s">
        <v>24</v>
      </c>
      <c r="I346" s="48" t="s">
        <v>668</v>
      </c>
      <c r="J346" s="46"/>
      <c r="K346" s="49"/>
      <c r="L346" s="50"/>
      <c r="M346" s="50"/>
      <c r="N346" s="50"/>
      <c r="O346" s="51"/>
      <c r="P346" s="49"/>
      <c r="Q346" s="51"/>
      <c r="R346" s="52"/>
      <c r="S346" s="49"/>
      <c r="T346" s="53"/>
      <c r="U346" s="48"/>
      <c r="V346" s="54"/>
    </row>
    <row r="347" spans="3:22" s="41" customFormat="1" ht="20.25" customHeight="1">
      <c r="C347" s="42">
        <f>+IF(E347&lt;&gt;0,MAX($C$1:C346)+1,"")</f>
        <v>319</v>
      </c>
      <c r="D347" s="43">
        <v>101909042</v>
      </c>
      <c r="E347" s="44" t="s">
        <v>282</v>
      </c>
      <c r="F347" s="45" t="s">
        <v>178</v>
      </c>
      <c r="G347" s="46">
        <v>43724</v>
      </c>
      <c r="H347" s="47" t="s">
        <v>24</v>
      </c>
      <c r="I347" s="48" t="s">
        <v>668</v>
      </c>
      <c r="J347" s="46"/>
      <c r="K347" s="49"/>
      <c r="L347" s="50"/>
      <c r="M347" s="50"/>
      <c r="N347" s="50"/>
      <c r="O347" s="51"/>
      <c r="P347" s="49"/>
      <c r="Q347" s="51"/>
      <c r="R347" s="52"/>
      <c r="S347" s="49"/>
      <c r="T347" s="53"/>
      <c r="U347" s="48"/>
      <c r="V347" s="54"/>
    </row>
    <row r="348" spans="3:22" s="41" customFormat="1" ht="20.25" customHeight="1">
      <c r="C348" s="42">
        <f>+IF(E348&lt;&gt;0,MAX($C$1:C347)+1,"")</f>
        <v>320</v>
      </c>
      <c r="D348" s="43">
        <v>302207011</v>
      </c>
      <c r="E348" s="44" t="s">
        <v>281</v>
      </c>
      <c r="F348" s="45" t="s">
        <v>187</v>
      </c>
      <c r="G348" s="46">
        <v>44751</v>
      </c>
      <c r="H348" s="47" t="s">
        <v>24</v>
      </c>
      <c r="I348" s="48" t="s">
        <v>668</v>
      </c>
      <c r="J348" s="46"/>
      <c r="K348" s="49"/>
      <c r="L348" s="50"/>
      <c r="M348" s="50"/>
      <c r="N348" s="50"/>
      <c r="O348" s="51"/>
      <c r="P348" s="49"/>
      <c r="Q348" s="51"/>
      <c r="R348" s="52"/>
      <c r="S348" s="49"/>
      <c r="T348" s="53"/>
      <c r="U348" s="48"/>
      <c r="V348" s="54"/>
    </row>
    <row r="349" spans="3:22" s="41" customFormat="1" ht="20.25" customHeight="1">
      <c r="C349" s="42">
        <f>+IF(E349&lt;&gt;0,MAX($C$1:C348)+1,"")</f>
        <v>321</v>
      </c>
      <c r="D349" s="43">
        <v>101008001</v>
      </c>
      <c r="E349" s="44" t="s">
        <v>284</v>
      </c>
      <c r="F349" s="45" t="s">
        <v>268</v>
      </c>
      <c r="G349" s="46">
        <v>40391</v>
      </c>
      <c r="H349" s="47" t="s">
        <v>24</v>
      </c>
      <c r="I349" s="48" t="s">
        <v>672</v>
      </c>
      <c r="J349" s="46"/>
      <c r="K349" s="49"/>
      <c r="L349" s="50"/>
      <c r="M349" s="50"/>
      <c r="N349" s="50"/>
      <c r="O349" s="51"/>
      <c r="P349" s="49"/>
      <c r="Q349" s="51"/>
      <c r="R349" s="52"/>
      <c r="S349" s="49"/>
      <c r="T349" s="53"/>
      <c r="U349" s="48"/>
      <c r="V349" s="54"/>
    </row>
    <row r="350" spans="3:22" s="41" customFormat="1" ht="20.25" customHeight="1">
      <c r="C350" s="42">
        <f>+IF(E350&lt;&gt;0,MAX($C$1:C349)+1,"")</f>
        <v>322</v>
      </c>
      <c r="D350" s="43">
        <v>310605002</v>
      </c>
      <c r="E350" s="44" t="s">
        <v>66</v>
      </c>
      <c r="F350" s="45" t="s">
        <v>106</v>
      </c>
      <c r="G350" s="46">
        <v>38861</v>
      </c>
      <c r="H350" s="47" t="s">
        <v>24</v>
      </c>
      <c r="I350" s="48" t="s">
        <v>668</v>
      </c>
      <c r="J350" s="46"/>
      <c r="K350" s="49"/>
      <c r="L350" s="50"/>
      <c r="M350" s="50"/>
      <c r="N350" s="50"/>
      <c r="O350" s="51"/>
      <c r="P350" s="49"/>
      <c r="Q350" s="51"/>
      <c r="R350" s="52"/>
      <c r="S350" s="49"/>
      <c r="T350" s="53"/>
      <c r="U350" s="48"/>
      <c r="V350" s="54"/>
    </row>
    <row r="351" spans="3:22" s="41" customFormat="1" ht="20.25" customHeight="1">
      <c r="C351" s="42">
        <f>+IF(E351&lt;&gt;0,MAX($C$1:C350)+1,"")</f>
        <v>323</v>
      </c>
      <c r="D351" s="43">
        <v>311306121</v>
      </c>
      <c r="E351" s="44" t="s">
        <v>209</v>
      </c>
      <c r="F351" s="45" t="s">
        <v>40</v>
      </c>
      <c r="G351" s="46">
        <v>41452</v>
      </c>
      <c r="H351" s="47" t="s">
        <v>24</v>
      </c>
      <c r="I351" s="48" t="s">
        <v>668</v>
      </c>
      <c r="J351" s="46"/>
      <c r="K351" s="49"/>
      <c r="L351" s="50"/>
      <c r="M351" s="50"/>
      <c r="N351" s="50"/>
      <c r="O351" s="51"/>
      <c r="P351" s="49"/>
      <c r="Q351" s="51"/>
      <c r="R351" s="52"/>
      <c r="S351" s="49"/>
      <c r="T351" s="53"/>
      <c r="U351" s="48"/>
      <c r="V351" s="54"/>
    </row>
    <row r="352" spans="3:22" s="41" customFormat="1" ht="20.25" customHeight="1">
      <c r="C352" s="42">
        <f>+IF(E352&lt;&gt;0,MAX($C$1:C351)+1,"")</f>
        <v>324</v>
      </c>
      <c r="D352" s="43">
        <v>211403034</v>
      </c>
      <c r="E352" s="44" t="s">
        <v>284</v>
      </c>
      <c r="F352" s="45" t="s">
        <v>92</v>
      </c>
      <c r="G352" s="46">
        <v>41717</v>
      </c>
      <c r="H352" s="47" t="s">
        <v>24</v>
      </c>
      <c r="I352" s="48" t="s">
        <v>668</v>
      </c>
      <c r="J352" s="46"/>
      <c r="K352" s="49"/>
      <c r="L352" s="50"/>
      <c r="M352" s="50"/>
      <c r="N352" s="50"/>
      <c r="O352" s="51"/>
      <c r="P352" s="49"/>
      <c r="Q352" s="51"/>
      <c r="R352" s="52"/>
      <c r="S352" s="49"/>
      <c r="T352" s="53"/>
      <c r="U352" s="48"/>
      <c r="V352" s="54"/>
    </row>
    <row r="353" spans="3:22" s="41" customFormat="1" ht="20.25" customHeight="1">
      <c r="C353" s="42">
        <f>+IF(E353&lt;&gt;0,MAX($C$1:C352)+1,"")</f>
        <v>325</v>
      </c>
      <c r="D353" s="43">
        <v>301510026</v>
      </c>
      <c r="E353" s="44" t="s">
        <v>286</v>
      </c>
      <c r="F353" s="45" t="s">
        <v>218</v>
      </c>
      <c r="G353" s="46">
        <v>42303</v>
      </c>
      <c r="H353" s="47" t="s">
        <v>24</v>
      </c>
      <c r="I353" s="48" t="s">
        <v>668</v>
      </c>
      <c r="J353" s="46"/>
      <c r="K353" s="49"/>
      <c r="L353" s="50"/>
      <c r="M353" s="50"/>
      <c r="N353" s="50"/>
      <c r="O353" s="51"/>
      <c r="P353" s="49"/>
      <c r="Q353" s="51"/>
      <c r="R353" s="52"/>
      <c r="S353" s="49"/>
      <c r="T353" s="53"/>
      <c r="U353" s="48"/>
      <c r="V353" s="54"/>
    </row>
    <row r="354" spans="3:22" s="41" customFormat="1" ht="20.25" customHeight="1">
      <c r="C354" s="42">
        <f>+IF(E354&lt;&gt;0,MAX($C$1:C353)+1,"")</f>
        <v>326</v>
      </c>
      <c r="D354" s="43">
        <v>211004005</v>
      </c>
      <c r="E354" s="44" t="s">
        <v>285</v>
      </c>
      <c r="F354" s="45" t="s">
        <v>225</v>
      </c>
      <c r="G354" s="46">
        <v>40282</v>
      </c>
      <c r="H354" s="47" t="s">
        <v>24</v>
      </c>
      <c r="I354" s="48" t="s">
        <v>668</v>
      </c>
      <c r="J354" s="46"/>
      <c r="K354" s="49"/>
      <c r="L354" s="50"/>
      <c r="M354" s="50"/>
      <c r="N354" s="50"/>
      <c r="O354" s="51"/>
      <c r="P354" s="49"/>
      <c r="Q354" s="51"/>
      <c r="R354" s="52"/>
      <c r="S354" s="49"/>
      <c r="T354" s="53"/>
      <c r="U354" s="48"/>
      <c r="V354" s="54"/>
    </row>
    <row r="355" spans="3:22" s="41" customFormat="1" ht="20.25" customHeight="1">
      <c r="C355" s="42">
        <f>+IF(E355&lt;&gt;0,MAX($C$1:C354)+1,"")</f>
        <v>327</v>
      </c>
      <c r="D355" s="43">
        <v>302211005</v>
      </c>
      <c r="E355" s="44" t="s">
        <v>66</v>
      </c>
      <c r="F355" s="45" t="s">
        <v>110</v>
      </c>
      <c r="G355" s="46">
        <v>44873</v>
      </c>
      <c r="H355" s="47" t="s">
        <v>24</v>
      </c>
      <c r="I355" s="48" t="s">
        <v>668</v>
      </c>
      <c r="J355" s="46"/>
      <c r="K355" s="49"/>
      <c r="L355" s="50"/>
      <c r="M355" s="50"/>
      <c r="N355" s="50"/>
      <c r="O355" s="51"/>
      <c r="P355" s="49"/>
      <c r="Q355" s="51"/>
      <c r="R355" s="52"/>
      <c r="S355" s="49"/>
      <c r="T355" s="53"/>
      <c r="U355" s="48"/>
      <c r="V355" s="54"/>
    </row>
    <row r="356" spans="3:22" s="41" customFormat="1" ht="20.25" customHeight="1">
      <c r="C356" s="42">
        <f>+IF(E356&lt;&gt;0,MAX($C$1:C355)+1,"")</f>
        <v>328</v>
      </c>
      <c r="D356" s="43">
        <v>401605291</v>
      </c>
      <c r="E356" s="44" t="s">
        <v>235</v>
      </c>
      <c r="F356" s="45" t="s">
        <v>155</v>
      </c>
      <c r="G356" s="46">
        <v>42515</v>
      </c>
      <c r="H356" s="47" t="s">
        <v>24</v>
      </c>
      <c r="I356" s="48" t="s">
        <v>668</v>
      </c>
      <c r="J356" s="46"/>
      <c r="K356" s="49"/>
      <c r="L356" s="50"/>
      <c r="M356" s="50"/>
      <c r="N356" s="50"/>
      <c r="O356" s="51"/>
      <c r="P356" s="49"/>
      <c r="Q356" s="51"/>
      <c r="R356" s="52"/>
      <c r="S356" s="49"/>
      <c r="T356" s="53"/>
      <c r="U356" s="48"/>
      <c r="V356" s="54"/>
    </row>
    <row r="357" spans="3:22" s="41" customFormat="1" ht="20.25" customHeight="1">
      <c r="C357" s="42">
        <f>+IF(E357&lt;&gt;0,MAX($C$1:C356)+1,"")</f>
        <v>329</v>
      </c>
      <c r="D357" s="43">
        <v>351706193</v>
      </c>
      <c r="E357" s="44" t="s">
        <v>287</v>
      </c>
      <c r="F357" s="45" t="s">
        <v>170</v>
      </c>
      <c r="G357" s="46">
        <v>42905</v>
      </c>
      <c r="H357" s="47" t="s">
        <v>24</v>
      </c>
      <c r="I357" s="48" t="s">
        <v>668</v>
      </c>
      <c r="J357" s="46"/>
      <c r="K357" s="49"/>
      <c r="L357" s="50"/>
      <c r="M357" s="50"/>
      <c r="N357" s="50"/>
      <c r="O357" s="51"/>
      <c r="P357" s="49"/>
      <c r="Q357" s="51"/>
      <c r="R357" s="52"/>
      <c r="S357" s="49"/>
      <c r="T357" s="53"/>
      <c r="U357" s="48"/>
      <c r="V357" s="54"/>
    </row>
    <row r="358" spans="3:22" s="41" customFormat="1" ht="20.25" customHeight="1">
      <c r="C358" s="42">
        <f>+IF(E358&lt;&gt;0,MAX($C$1:C357)+1,"")</f>
        <v>330</v>
      </c>
      <c r="D358" s="43">
        <v>552009135</v>
      </c>
      <c r="E358" s="44" t="s">
        <v>288</v>
      </c>
      <c r="F358" s="45" t="s">
        <v>289</v>
      </c>
      <c r="G358" s="46">
        <v>44095</v>
      </c>
      <c r="H358" s="47" t="s">
        <v>24</v>
      </c>
      <c r="I358" s="48" t="s">
        <v>668</v>
      </c>
      <c r="J358" s="46"/>
      <c r="K358" s="49"/>
      <c r="L358" s="50"/>
      <c r="M358" s="50"/>
      <c r="N358" s="50"/>
      <c r="O358" s="51"/>
      <c r="P358" s="49"/>
      <c r="Q358" s="51"/>
      <c r="R358" s="52"/>
      <c r="S358" s="49"/>
      <c r="T358" s="53"/>
      <c r="U358" s="48"/>
      <c r="V358" s="54"/>
    </row>
    <row r="359" spans="3:22" s="41" customFormat="1" ht="20.25" customHeight="1">
      <c r="C359" s="42">
        <f>+IF(E359&lt;&gt;0,MAX($C$1:C358)+1,"")</f>
        <v>331</v>
      </c>
      <c r="D359" s="43">
        <v>552106190</v>
      </c>
      <c r="E359" s="44" t="s">
        <v>103</v>
      </c>
      <c r="F359" s="45" t="s">
        <v>104</v>
      </c>
      <c r="G359" s="46">
        <v>44362</v>
      </c>
      <c r="H359" s="47" t="s">
        <v>24</v>
      </c>
      <c r="I359" s="48" t="s">
        <v>668</v>
      </c>
      <c r="J359" s="46"/>
      <c r="K359" s="49"/>
      <c r="L359" s="50"/>
      <c r="M359" s="50"/>
      <c r="N359" s="50"/>
      <c r="O359" s="51"/>
      <c r="P359" s="49"/>
      <c r="Q359" s="51"/>
      <c r="R359" s="52"/>
      <c r="S359" s="49"/>
      <c r="T359" s="53"/>
      <c r="U359" s="48"/>
      <c r="V359" s="54"/>
    </row>
    <row r="360" spans="3:22" s="41" customFormat="1" ht="20.25" customHeight="1">
      <c r="C360" s="42">
        <f>+IF(E360&lt;&gt;0,MAX($C$1:C359)+1,"")</f>
        <v>332</v>
      </c>
      <c r="D360" s="43">
        <v>301504014</v>
      </c>
      <c r="E360" s="44" t="s">
        <v>84</v>
      </c>
      <c r="F360" s="45" t="s">
        <v>124</v>
      </c>
      <c r="G360" s="46">
        <v>42100</v>
      </c>
      <c r="H360" s="47" t="s">
        <v>24</v>
      </c>
      <c r="I360" s="48" t="s">
        <v>668</v>
      </c>
      <c r="J360" s="46"/>
      <c r="K360" s="49"/>
      <c r="L360" s="50"/>
      <c r="M360" s="50"/>
      <c r="N360" s="50"/>
      <c r="O360" s="51"/>
      <c r="P360" s="49"/>
      <c r="Q360" s="51"/>
      <c r="R360" s="52"/>
      <c r="S360" s="49"/>
      <c r="T360" s="53"/>
      <c r="U360" s="48"/>
      <c r="V360" s="54"/>
    </row>
    <row r="361" spans="3:22" s="41" customFormat="1" ht="20.25" customHeight="1">
      <c r="C361" s="42">
        <f>+IF(E361&lt;&gt;0,MAX($C$1:C360)+1,"")</f>
        <v>333</v>
      </c>
      <c r="D361" s="43">
        <v>311704080</v>
      </c>
      <c r="E361" s="44" t="s">
        <v>290</v>
      </c>
      <c r="F361" s="45" t="s">
        <v>291</v>
      </c>
      <c r="G361" s="46">
        <v>42829</v>
      </c>
      <c r="H361" s="47" t="s">
        <v>24</v>
      </c>
      <c r="I361" s="48" t="s">
        <v>668</v>
      </c>
      <c r="J361" s="46"/>
      <c r="K361" s="49"/>
      <c r="L361" s="50"/>
      <c r="M361" s="50"/>
      <c r="N361" s="50"/>
      <c r="O361" s="51"/>
      <c r="P361" s="49"/>
      <c r="Q361" s="51"/>
      <c r="R361" s="52"/>
      <c r="S361" s="49"/>
      <c r="T361" s="53"/>
      <c r="U361" s="48"/>
      <c r="V361" s="54"/>
    </row>
    <row r="362" spans="3:22" s="41" customFormat="1" ht="20.25" customHeight="1">
      <c r="C362" s="42">
        <f>+IF(E362&lt;&gt;0,MAX($C$1:C361)+1,"")</f>
        <v>334</v>
      </c>
      <c r="D362" s="43">
        <v>301205009</v>
      </c>
      <c r="E362" s="44" t="s">
        <v>292</v>
      </c>
      <c r="F362" s="45" t="s">
        <v>40</v>
      </c>
      <c r="G362" s="46">
        <v>40973</v>
      </c>
      <c r="H362" s="47" t="s">
        <v>24</v>
      </c>
      <c r="I362" s="48" t="s">
        <v>668</v>
      </c>
      <c r="J362" s="46"/>
      <c r="K362" s="49"/>
      <c r="L362" s="50"/>
      <c r="M362" s="50"/>
      <c r="N362" s="50"/>
      <c r="O362" s="51"/>
      <c r="P362" s="49"/>
      <c r="Q362" s="51"/>
      <c r="R362" s="52"/>
      <c r="S362" s="49"/>
      <c r="T362" s="53"/>
      <c r="U362" s="48"/>
      <c r="V362" s="54"/>
    </row>
    <row r="363" spans="3:22" s="41" customFormat="1" ht="20.25" customHeight="1">
      <c r="C363" s="42">
        <f>+IF(E363&lt;&gt;0,MAX($C$1:C362)+1,"")</f>
        <v>335</v>
      </c>
      <c r="D363" s="43">
        <v>681708005</v>
      </c>
      <c r="E363" s="44" t="s">
        <v>293</v>
      </c>
      <c r="F363" s="45" t="s">
        <v>130</v>
      </c>
      <c r="G363" s="46">
        <v>42954</v>
      </c>
      <c r="H363" s="47" t="s">
        <v>24</v>
      </c>
      <c r="I363" s="48" t="s">
        <v>669</v>
      </c>
      <c r="J363" s="46"/>
      <c r="K363" s="49"/>
      <c r="L363" s="50"/>
      <c r="M363" s="50"/>
      <c r="N363" s="50"/>
      <c r="O363" s="51"/>
      <c r="P363" s="49"/>
      <c r="Q363" s="51"/>
      <c r="R363" s="52"/>
      <c r="S363" s="49"/>
      <c r="T363" s="53"/>
      <c r="U363" s="48"/>
      <c r="V363" s="54"/>
    </row>
    <row r="364" spans="3:22" s="41" customFormat="1" ht="20.25" customHeight="1">
      <c r="C364" s="42">
        <f>+IF(E364&lt;&gt;0,MAX($C$1:C363)+1,"")</f>
        <v>336</v>
      </c>
      <c r="D364" s="43">
        <v>201508027</v>
      </c>
      <c r="E364" s="44" t="s">
        <v>294</v>
      </c>
      <c r="F364" s="45" t="s">
        <v>87</v>
      </c>
      <c r="G364" s="46">
        <v>42242</v>
      </c>
      <c r="H364" s="47" t="s">
        <v>24</v>
      </c>
      <c r="I364" s="48" t="s">
        <v>668</v>
      </c>
      <c r="J364" s="46"/>
      <c r="K364" s="49"/>
      <c r="L364" s="50"/>
      <c r="M364" s="50"/>
      <c r="N364" s="50"/>
      <c r="O364" s="51"/>
      <c r="P364" s="49"/>
      <c r="Q364" s="51"/>
      <c r="R364" s="52"/>
      <c r="S364" s="49"/>
      <c r="T364" s="53"/>
      <c r="U364" s="48"/>
      <c r="V364" s="54"/>
    </row>
    <row r="365" spans="3:22" s="41" customFormat="1" ht="20.25" customHeight="1">
      <c r="C365" s="42">
        <f>+IF(E365&lt;&gt;0,MAX($C$1:C364)+1,"")</f>
        <v>337</v>
      </c>
      <c r="D365" s="43">
        <v>311607560</v>
      </c>
      <c r="E365" s="44" t="s">
        <v>137</v>
      </c>
      <c r="F365" s="45" t="s">
        <v>295</v>
      </c>
      <c r="G365" s="46">
        <v>42566</v>
      </c>
      <c r="H365" s="47" t="s">
        <v>24</v>
      </c>
      <c r="I365" s="48" t="s">
        <v>668</v>
      </c>
      <c r="J365" s="46"/>
      <c r="K365" s="49"/>
      <c r="L365" s="50"/>
      <c r="M365" s="50"/>
      <c r="N365" s="50"/>
      <c r="O365" s="51"/>
      <c r="P365" s="49"/>
      <c r="Q365" s="51"/>
      <c r="R365" s="52"/>
      <c r="S365" s="49"/>
      <c r="T365" s="53"/>
      <c r="U365" s="48"/>
      <c r="V365" s="54"/>
    </row>
    <row r="366" spans="3:22" s="41" customFormat="1" ht="20.25" customHeight="1">
      <c r="C366" s="42">
        <f>+IF(E366&lt;&gt;0,MAX($C$1:C365)+1,"")</f>
        <v>338</v>
      </c>
      <c r="D366" s="43">
        <v>301306012</v>
      </c>
      <c r="E366" s="44" t="s">
        <v>71</v>
      </c>
      <c r="F366" s="45" t="s">
        <v>165</v>
      </c>
      <c r="G366" s="46">
        <v>41451</v>
      </c>
      <c r="H366" s="47" t="s">
        <v>24</v>
      </c>
      <c r="I366" s="48" t="s">
        <v>668</v>
      </c>
      <c r="J366" s="46"/>
      <c r="K366" s="49"/>
      <c r="L366" s="50"/>
      <c r="M366" s="50"/>
      <c r="N366" s="50"/>
      <c r="O366" s="51"/>
      <c r="P366" s="49"/>
      <c r="Q366" s="51"/>
      <c r="R366" s="52"/>
      <c r="S366" s="49"/>
      <c r="T366" s="53"/>
      <c r="U366" s="48"/>
      <c r="V366" s="54"/>
    </row>
    <row r="367" spans="3:22" s="41" customFormat="1" ht="20.25" customHeight="1">
      <c r="C367" s="42">
        <f>+IF(E367&lt;&gt;0,MAX($C$1:C366)+1,"")</f>
        <v>339</v>
      </c>
      <c r="D367" s="43">
        <v>412106104</v>
      </c>
      <c r="E367" s="44" t="s">
        <v>298</v>
      </c>
      <c r="F367" s="45" t="s">
        <v>299</v>
      </c>
      <c r="G367" s="46">
        <v>44356</v>
      </c>
      <c r="H367" s="47" t="s">
        <v>24</v>
      </c>
      <c r="I367" s="48" t="s">
        <v>668</v>
      </c>
      <c r="J367" s="46"/>
      <c r="K367" s="49"/>
      <c r="L367" s="50"/>
      <c r="M367" s="50"/>
      <c r="N367" s="50"/>
      <c r="O367" s="51"/>
      <c r="P367" s="49"/>
      <c r="Q367" s="51"/>
      <c r="R367" s="52"/>
      <c r="S367" s="49"/>
      <c r="T367" s="53"/>
      <c r="U367" s="48"/>
      <c r="V367" s="54"/>
    </row>
    <row r="368" spans="3:22" s="41" customFormat="1" ht="20.25" customHeight="1">
      <c r="C368" s="42">
        <f>+IF(E368&lt;&gt;0,MAX($C$1:C367)+1,"")</f>
        <v>340</v>
      </c>
      <c r="D368" s="43">
        <v>412106067</v>
      </c>
      <c r="E368" s="44" t="s">
        <v>296</v>
      </c>
      <c r="F368" s="45" t="s">
        <v>297</v>
      </c>
      <c r="G368" s="46">
        <v>44349</v>
      </c>
      <c r="H368" s="47" t="s">
        <v>24</v>
      </c>
      <c r="I368" s="48" t="s">
        <v>668</v>
      </c>
      <c r="J368" s="46"/>
      <c r="K368" s="49"/>
      <c r="L368" s="50"/>
      <c r="M368" s="50"/>
      <c r="N368" s="50"/>
      <c r="O368" s="51"/>
      <c r="P368" s="49"/>
      <c r="Q368" s="51"/>
      <c r="R368" s="52"/>
      <c r="S368" s="49"/>
      <c r="T368" s="53"/>
      <c r="U368" s="48"/>
      <c r="V368" s="54"/>
    </row>
    <row r="369" spans="3:22" s="41" customFormat="1" ht="20.25" customHeight="1">
      <c r="C369" s="42">
        <f>+IF(E369&lt;&gt;0,MAX($C$1:C368)+1,"")</f>
        <v>341</v>
      </c>
      <c r="D369" s="43">
        <v>331410044</v>
      </c>
      <c r="E369" s="44" t="s">
        <v>300</v>
      </c>
      <c r="F369" s="45" t="s">
        <v>16</v>
      </c>
      <c r="G369" s="46">
        <v>41915</v>
      </c>
      <c r="H369" s="47" t="s">
        <v>31</v>
      </c>
      <c r="I369" s="48" t="s">
        <v>668</v>
      </c>
      <c r="J369" s="46"/>
      <c r="K369" s="49"/>
      <c r="L369" s="50"/>
      <c r="M369" s="50"/>
      <c r="N369" s="50"/>
      <c r="O369" s="51"/>
      <c r="P369" s="49"/>
      <c r="Q369" s="51"/>
      <c r="R369" s="52"/>
      <c r="S369" s="49"/>
      <c r="T369" s="53"/>
      <c r="U369" s="48"/>
      <c r="V369" s="54"/>
    </row>
    <row r="370" spans="3:22" s="41" customFormat="1" ht="20.25" customHeight="1">
      <c r="C370" s="42">
        <f>+IF(E370&lt;&gt;0,MAX($C$1:C369)+1,"")</f>
        <v>342</v>
      </c>
      <c r="D370" s="43">
        <v>331410085</v>
      </c>
      <c r="E370" s="44" t="s">
        <v>171</v>
      </c>
      <c r="F370" s="45" t="s">
        <v>172</v>
      </c>
      <c r="G370" s="46">
        <v>41926</v>
      </c>
      <c r="H370" s="47" t="s">
        <v>24</v>
      </c>
      <c r="I370" s="48" t="s">
        <v>667</v>
      </c>
      <c r="J370" s="46"/>
      <c r="K370" s="49"/>
      <c r="L370" s="50"/>
      <c r="M370" s="50"/>
      <c r="N370" s="50"/>
      <c r="O370" s="51"/>
      <c r="P370" s="49"/>
      <c r="Q370" s="51"/>
      <c r="R370" s="52"/>
      <c r="S370" s="49"/>
      <c r="T370" s="53"/>
      <c r="U370" s="48"/>
      <c r="V370" s="54"/>
    </row>
    <row r="371" spans="3:22" s="41" customFormat="1" ht="20.25" customHeight="1">
      <c r="C371" s="42">
        <f>+IF(E371&lt;&gt;0,MAX($C$1:C370)+1,"")</f>
        <v>343</v>
      </c>
      <c r="D371" s="43">
        <v>331410003</v>
      </c>
      <c r="E371" s="44" t="s">
        <v>66</v>
      </c>
      <c r="F371" s="45" t="s">
        <v>301</v>
      </c>
      <c r="G371" s="46">
        <v>41913</v>
      </c>
      <c r="H371" s="47" t="s">
        <v>24</v>
      </c>
      <c r="I371" s="48" t="s">
        <v>669</v>
      </c>
      <c r="J371" s="46"/>
      <c r="K371" s="49"/>
      <c r="L371" s="50"/>
      <c r="M371" s="50"/>
      <c r="N371" s="50"/>
      <c r="O371" s="51"/>
      <c r="P371" s="49"/>
      <c r="Q371" s="51"/>
      <c r="R371" s="52"/>
      <c r="S371" s="49"/>
      <c r="T371" s="53"/>
      <c r="U371" s="48"/>
      <c r="V371" s="54"/>
    </row>
    <row r="372" spans="3:22" s="41" customFormat="1" ht="20.25" customHeight="1">
      <c r="C372" s="42">
        <f>+IF(E372&lt;&gt;0,MAX($C$1:C371)+1,"")</f>
        <v>344</v>
      </c>
      <c r="D372" s="43">
        <v>331411001</v>
      </c>
      <c r="E372" s="44" t="s">
        <v>84</v>
      </c>
      <c r="F372" s="45" t="s">
        <v>72</v>
      </c>
      <c r="G372" s="46">
        <v>41944</v>
      </c>
      <c r="H372" s="47" t="s">
        <v>24</v>
      </c>
      <c r="I372" s="48" t="s">
        <v>669</v>
      </c>
      <c r="J372" s="46"/>
      <c r="K372" s="49"/>
      <c r="L372" s="50"/>
      <c r="M372" s="50"/>
      <c r="N372" s="50"/>
      <c r="O372" s="51"/>
      <c r="P372" s="49"/>
      <c r="Q372" s="51"/>
      <c r="R372" s="52"/>
      <c r="S372" s="49"/>
      <c r="T372" s="53"/>
      <c r="U372" s="48"/>
      <c r="V372" s="54"/>
    </row>
    <row r="373" spans="3:22" s="41" customFormat="1" ht="20.25" customHeight="1">
      <c r="C373" s="42">
        <f>+IF(E373&lt;&gt;0,MAX($C$1:C372)+1,"")</f>
        <v>345</v>
      </c>
      <c r="D373" s="43">
        <v>331412052</v>
      </c>
      <c r="E373" s="44" t="s">
        <v>71</v>
      </c>
      <c r="F373" s="45" t="s">
        <v>83</v>
      </c>
      <c r="G373" s="46">
        <v>41996</v>
      </c>
      <c r="H373" s="47" t="s">
        <v>24</v>
      </c>
      <c r="I373" s="48" t="s">
        <v>669</v>
      </c>
      <c r="J373" s="46"/>
      <c r="K373" s="49"/>
      <c r="L373" s="50"/>
      <c r="M373" s="50"/>
      <c r="N373" s="50"/>
      <c r="O373" s="51"/>
      <c r="P373" s="49"/>
      <c r="Q373" s="51"/>
      <c r="R373" s="52"/>
      <c r="S373" s="49"/>
      <c r="T373" s="53"/>
      <c r="U373" s="48"/>
      <c r="V373" s="54"/>
    </row>
    <row r="374" spans="3:22" s="41" customFormat="1" ht="20.25" customHeight="1">
      <c r="C374" s="42">
        <f>+IF(E374&lt;&gt;0,MAX($C$1:C373)+1,"")</f>
        <v>346</v>
      </c>
      <c r="D374" s="43">
        <v>331607001</v>
      </c>
      <c r="E374" s="44" t="s">
        <v>71</v>
      </c>
      <c r="F374" s="45" t="s">
        <v>302</v>
      </c>
      <c r="G374" s="46">
        <v>42552</v>
      </c>
      <c r="H374" s="47" t="s">
        <v>24</v>
      </c>
      <c r="I374" s="48" t="s">
        <v>669</v>
      </c>
      <c r="J374" s="46"/>
      <c r="K374" s="49"/>
      <c r="L374" s="50"/>
      <c r="M374" s="50"/>
      <c r="N374" s="50"/>
      <c r="O374" s="51"/>
      <c r="P374" s="49"/>
      <c r="Q374" s="51"/>
      <c r="R374" s="52"/>
      <c r="S374" s="49"/>
      <c r="T374" s="53"/>
      <c r="U374" s="48"/>
      <c r="V374" s="54"/>
    </row>
    <row r="375" spans="3:22" s="41" customFormat="1" ht="20.25" customHeight="1">
      <c r="C375" s="42">
        <f>+IF(E375&lt;&gt;0,MAX($C$1:C374)+1,"")</f>
        <v>347</v>
      </c>
      <c r="D375" s="43">
        <v>101110010</v>
      </c>
      <c r="E375" s="44" t="s">
        <v>300</v>
      </c>
      <c r="F375" s="45" t="s">
        <v>20</v>
      </c>
      <c r="G375" s="46">
        <v>40844</v>
      </c>
      <c r="H375" s="47" t="s">
        <v>61</v>
      </c>
      <c r="I375" s="48" t="s">
        <v>642</v>
      </c>
      <c r="J375" s="46"/>
      <c r="K375" s="49"/>
      <c r="L375" s="50"/>
      <c r="M375" s="50"/>
      <c r="N375" s="50"/>
      <c r="O375" s="51"/>
      <c r="P375" s="49"/>
      <c r="Q375" s="51"/>
      <c r="R375" s="52"/>
      <c r="S375" s="49"/>
      <c r="T375" s="53"/>
      <c r="U375" s="48"/>
      <c r="V375" s="54"/>
    </row>
    <row r="376" spans="3:22" s="41" customFormat="1" ht="20.25" customHeight="1">
      <c r="C376" s="42">
        <f>+IF(E376&lt;&gt;0,MAX($C$1:C375)+1,"")</f>
        <v>348</v>
      </c>
      <c r="D376" s="43">
        <v>311211041</v>
      </c>
      <c r="E376" s="44" t="s">
        <v>316</v>
      </c>
      <c r="F376" s="45" t="s">
        <v>99</v>
      </c>
      <c r="G376" s="46">
        <v>41239</v>
      </c>
      <c r="H376" s="47" t="s">
        <v>24</v>
      </c>
      <c r="I376" s="48" t="s">
        <v>669</v>
      </c>
      <c r="J376" s="46"/>
      <c r="K376" s="49"/>
      <c r="L376" s="50"/>
      <c r="M376" s="50"/>
      <c r="N376" s="50"/>
      <c r="O376" s="51"/>
      <c r="P376" s="49"/>
      <c r="Q376" s="51"/>
      <c r="R376" s="52"/>
      <c r="S376" s="49"/>
      <c r="T376" s="53"/>
      <c r="U376" s="48"/>
      <c r="V376" s="54"/>
    </row>
    <row r="377" spans="3:22" s="41" customFormat="1" ht="20.25" customHeight="1">
      <c r="C377" s="42">
        <f>+IF(E377&lt;&gt;0,MAX($C$1:C376)+1,"")</f>
        <v>349</v>
      </c>
      <c r="D377" s="43">
        <v>101206003</v>
      </c>
      <c r="E377" s="44" t="s">
        <v>84</v>
      </c>
      <c r="F377" s="45" t="s">
        <v>54</v>
      </c>
      <c r="G377" s="46">
        <v>41071</v>
      </c>
      <c r="H377" s="47" t="s">
        <v>24</v>
      </c>
      <c r="I377" s="48" t="s">
        <v>669</v>
      </c>
      <c r="J377" s="46"/>
      <c r="K377" s="49"/>
      <c r="L377" s="50"/>
      <c r="M377" s="50"/>
      <c r="N377" s="50"/>
      <c r="O377" s="51"/>
      <c r="P377" s="49"/>
      <c r="Q377" s="51"/>
      <c r="R377" s="52"/>
      <c r="S377" s="49"/>
      <c r="T377" s="53"/>
      <c r="U377" s="48"/>
      <c r="V377" s="54"/>
    </row>
    <row r="378" spans="3:22" s="41" customFormat="1" ht="20.25" customHeight="1">
      <c r="C378" s="42">
        <f>+IF(E378&lt;&gt;0,MAX($C$1:C377)+1,"")</f>
        <v>350</v>
      </c>
      <c r="D378" s="43">
        <v>101605017</v>
      </c>
      <c r="E378" s="44" t="s">
        <v>88</v>
      </c>
      <c r="F378" s="45" t="s">
        <v>172</v>
      </c>
      <c r="G378" s="46">
        <v>42497</v>
      </c>
      <c r="H378" s="47" t="s">
        <v>24</v>
      </c>
      <c r="I378" s="48" t="s">
        <v>673</v>
      </c>
      <c r="J378" s="46"/>
      <c r="K378" s="49"/>
      <c r="L378" s="50"/>
      <c r="M378" s="50"/>
      <c r="N378" s="50"/>
      <c r="O378" s="51"/>
      <c r="P378" s="49"/>
      <c r="Q378" s="51"/>
      <c r="R378" s="52"/>
      <c r="S378" s="49"/>
      <c r="T378" s="53"/>
      <c r="U378" s="48"/>
      <c r="V378" s="54"/>
    </row>
    <row r="379" spans="3:22" s="41" customFormat="1" ht="20.25" customHeight="1">
      <c r="C379" s="42">
        <f>+IF(E379&lt;&gt;0,MAX($C$1:C378)+1,"")</f>
        <v>351</v>
      </c>
      <c r="D379" s="43">
        <v>102410045</v>
      </c>
      <c r="E379" s="44" t="s">
        <v>321</v>
      </c>
      <c r="F379" s="45" t="s">
        <v>322</v>
      </c>
      <c r="G379" s="46">
        <v>45586</v>
      </c>
      <c r="H379" s="47" t="s">
        <v>24</v>
      </c>
      <c r="I379" s="48" t="s">
        <v>668</v>
      </c>
      <c r="J379" s="46"/>
      <c r="K379" s="49"/>
      <c r="L379" s="50"/>
      <c r="M379" s="50"/>
      <c r="N379" s="50"/>
      <c r="O379" s="51"/>
      <c r="P379" s="49"/>
      <c r="Q379" s="51"/>
      <c r="R379" s="52"/>
      <c r="S379" s="49"/>
      <c r="T379" s="53"/>
      <c r="U379" s="48"/>
      <c r="V379" s="54"/>
    </row>
    <row r="380" spans="3:22" s="41" customFormat="1" ht="20.25" customHeight="1">
      <c r="C380" s="42">
        <f>+IF(E380&lt;&gt;0,MAX($C$1:C379)+1,"")</f>
        <v>352</v>
      </c>
      <c r="D380" s="43">
        <v>682205001</v>
      </c>
      <c r="E380" s="44" t="s">
        <v>613</v>
      </c>
      <c r="F380" s="45" t="s">
        <v>614</v>
      </c>
      <c r="G380" s="46">
        <v>44690</v>
      </c>
      <c r="H380" s="47" t="s">
        <v>24</v>
      </c>
      <c r="I380" s="48" t="s">
        <v>668</v>
      </c>
      <c r="J380" s="46"/>
      <c r="K380" s="49"/>
      <c r="L380" s="50"/>
      <c r="M380" s="50"/>
      <c r="N380" s="50"/>
      <c r="O380" s="51"/>
      <c r="P380" s="49"/>
      <c r="Q380" s="51"/>
      <c r="R380" s="52"/>
      <c r="S380" s="49"/>
      <c r="T380" s="53"/>
      <c r="U380" s="48"/>
      <c r="V380" s="54"/>
    </row>
    <row r="381" spans="3:22" s="41" customFormat="1" ht="20.25" customHeight="1">
      <c r="C381" s="42">
        <f>+IF(E381&lt;&gt;0,MAX($C$1:C380)+1,"")</f>
        <v>353</v>
      </c>
      <c r="D381" s="43">
        <v>102503053</v>
      </c>
      <c r="E381" s="44" t="s">
        <v>177</v>
      </c>
      <c r="F381" s="45" t="s">
        <v>178</v>
      </c>
      <c r="G381" s="46">
        <v>45740</v>
      </c>
      <c r="H381" s="47" t="s">
        <v>24</v>
      </c>
      <c r="I381" s="48" t="s">
        <v>668</v>
      </c>
      <c r="J381" s="46"/>
      <c r="K381" s="49"/>
      <c r="L381" s="50"/>
      <c r="M381" s="50"/>
      <c r="N381" s="50"/>
      <c r="O381" s="51"/>
      <c r="P381" s="49"/>
      <c r="Q381" s="51"/>
      <c r="R381" s="52"/>
      <c r="S381" s="49"/>
      <c r="T381" s="53"/>
      <c r="U381" s="48"/>
      <c r="V381" s="54"/>
    </row>
    <row r="382" spans="3:22" s="41" customFormat="1" ht="20.25" customHeight="1">
      <c r="C382" s="42">
        <f>+IF(E382&lt;&gt;0,MAX($C$1:C381)+1,"")</f>
        <v>354</v>
      </c>
      <c r="D382" s="43">
        <v>712111042</v>
      </c>
      <c r="E382" s="44" t="s">
        <v>318</v>
      </c>
      <c r="F382" s="45" t="s">
        <v>319</v>
      </c>
      <c r="G382" s="46">
        <v>44504</v>
      </c>
      <c r="H382" s="47" t="s">
        <v>24</v>
      </c>
      <c r="I382" s="48" t="s">
        <v>668</v>
      </c>
      <c r="J382" s="46"/>
      <c r="K382" s="49"/>
      <c r="L382" s="50"/>
      <c r="M382" s="50"/>
      <c r="N382" s="50"/>
      <c r="O382" s="51"/>
      <c r="P382" s="49"/>
      <c r="Q382" s="51"/>
      <c r="R382" s="52"/>
      <c r="S382" s="49"/>
      <c r="T382" s="53"/>
      <c r="U382" s="48"/>
      <c r="V382" s="54"/>
    </row>
    <row r="383" spans="3:22" s="41" customFormat="1" ht="20.25" customHeight="1">
      <c r="C383" s="42">
        <f>+IF(E383&lt;&gt;0,MAX($C$1:C382)+1,"")</f>
        <v>355</v>
      </c>
      <c r="D383" s="43">
        <v>102511016</v>
      </c>
      <c r="E383" s="44" t="s">
        <v>440</v>
      </c>
      <c r="F383" s="45" t="s">
        <v>311</v>
      </c>
      <c r="G383" s="46">
        <v>45978</v>
      </c>
      <c r="H383" s="47" t="s">
        <v>24</v>
      </c>
      <c r="I383" s="48" t="s">
        <v>668</v>
      </c>
      <c r="J383" s="46"/>
      <c r="K383" s="49"/>
      <c r="L383" s="50"/>
      <c r="M383" s="50"/>
      <c r="N383" s="50"/>
      <c r="O383" s="51"/>
      <c r="P383" s="49"/>
      <c r="Q383" s="51"/>
      <c r="R383" s="52"/>
      <c r="S383" s="49"/>
      <c r="T383" s="53"/>
      <c r="U383" s="48"/>
      <c r="V383" s="54"/>
    </row>
    <row r="384" spans="3:22" s="41" customFormat="1" ht="20.25" customHeight="1">
      <c r="C384" s="42">
        <f>+IF(E384&lt;&gt;0,MAX($C$1:C383)+1,"")</f>
        <v>356</v>
      </c>
      <c r="D384" s="43">
        <v>712101922</v>
      </c>
      <c r="E384" s="44" t="s">
        <v>320</v>
      </c>
      <c r="F384" s="45" t="s">
        <v>115</v>
      </c>
      <c r="G384" s="46">
        <v>44217</v>
      </c>
      <c r="H384" s="47" t="s">
        <v>24</v>
      </c>
      <c r="I384" s="48" t="s">
        <v>668</v>
      </c>
      <c r="J384" s="46"/>
      <c r="K384" s="49"/>
      <c r="L384" s="50"/>
      <c r="M384" s="50"/>
      <c r="N384" s="50"/>
      <c r="O384" s="51"/>
      <c r="P384" s="49"/>
      <c r="Q384" s="51"/>
      <c r="R384" s="52"/>
      <c r="S384" s="49"/>
      <c r="T384" s="53"/>
      <c r="U384" s="48"/>
      <c r="V384" s="54"/>
    </row>
    <row r="385" spans="2:25" s="41" customFormat="1" ht="20.25" customHeight="1">
      <c r="C385" s="42">
        <f>+IF(E385&lt;&gt;0,MAX($C$1:C384)+1,"")</f>
        <v>357</v>
      </c>
      <c r="D385" s="43">
        <v>401610509</v>
      </c>
      <c r="E385" s="44" t="s">
        <v>253</v>
      </c>
      <c r="F385" s="45" t="s">
        <v>254</v>
      </c>
      <c r="G385" s="46">
        <v>42667</v>
      </c>
      <c r="H385" s="47" t="s">
        <v>24</v>
      </c>
      <c r="I385" s="48" t="s">
        <v>668</v>
      </c>
      <c r="J385" s="46"/>
      <c r="K385" s="49"/>
      <c r="L385" s="50"/>
      <c r="M385" s="50"/>
      <c r="N385" s="50"/>
      <c r="O385" s="51"/>
      <c r="P385" s="49"/>
      <c r="Q385" s="51"/>
      <c r="R385" s="52"/>
      <c r="S385" s="49"/>
      <c r="T385" s="53"/>
      <c r="U385" s="48"/>
      <c r="V385" s="54"/>
    </row>
    <row r="386" spans="2:25" s="41" customFormat="1" ht="20.25" customHeight="1">
      <c r="C386" s="42">
        <f>+IF(E386&lt;&gt;0,MAX($C$1:C385)+1,"")</f>
        <v>358</v>
      </c>
      <c r="D386" s="43">
        <v>732206002</v>
      </c>
      <c r="E386" s="44" t="s">
        <v>84</v>
      </c>
      <c r="F386" s="45" t="s">
        <v>266</v>
      </c>
      <c r="G386" s="46">
        <v>44732</v>
      </c>
      <c r="H386" s="47" t="s">
        <v>24</v>
      </c>
      <c r="I386" s="48" t="s">
        <v>668</v>
      </c>
      <c r="J386" s="46"/>
      <c r="K386" s="49"/>
      <c r="L386" s="50"/>
      <c r="M386" s="50"/>
      <c r="N386" s="50"/>
      <c r="O386" s="51"/>
      <c r="P386" s="49"/>
      <c r="Q386" s="51"/>
      <c r="R386" s="52"/>
      <c r="S386" s="49"/>
      <c r="T386" s="53"/>
      <c r="U386" s="48"/>
      <c r="V386" s="54"/>
    </row>
    <row r="387" spans="2:25" s="41" customFormat="1" ht="20.25" customHeight="1">
      <c r="B387" s="1"/>
      <c r="C387" s="242" t="s">
        <v>685</v>
      </c>
      <c r="D387" s="243"/>
      <c r="E387" s="244"/>
      <c r="F387" s="245"/>
      <c r="G387" s="246"/>
      <c r="H387" s="244"/>
      <c r="I387" s="245"/>
      <c r="J387" s="246"/>
      <c r="K387" s="32"/>
      <c r="L387" s="246"/>
      <c r="M387" s="243"/>
      <c r="N387" s="243"/>
      <c r="O387" s="246"/>
      <c r="P387" s="32"/>
      <c r="Q387" s="246"/>
      <c r="R387" s="247"/>
      <c r="S387" s="32"/>
      <c r="T387" s="248"/>
      <c r="U387" s="245"/>
      <c r="V387" s="54"/>
      <c r="W387" s="1"/>
      <c r="X387" s="1"/>
      <c r="Y387" s="1"/>
    </row>
    <row r="388" spans="2:25" s="41" customFormat="1" ht="20.25" customHeight="1">
      <c r="C388" s="42">
        <f>+IF(E388&lt;&gt;0,MAX($C$1:C386)+1,"")</f>
        <v>359</v>
      </c>
      <c r="D388" s="43">
        <v>100206001</v>
      </c>
      <c r="E388" s="44" t="s">
        <v>449</v>
      </c>
      <c r="F388" s="45" t="s">
        <v>450</v>
      </c>
      <c r="G388" s="46">
        <v>37408</v>
      </c>
      <c r="H388" s="47" t="s">
        <v>28</v>
      </c>
      <c r="I388" s="48" t="s">
        <v>448</v>
      </c>
      <c r="J388" s="46"/>
      <c r="K388" s="49"/>
      <c r="L388" s="50"/>
      <c r="M388" s="50"/>
      <c r="N388" s="50"/>
      <c r="O388" s="51"/>
      <c r="P388" s="49"/>
      <c r="Q388" s="51"/>
      <c r="R388" s="52"/>
      <c r="S388" s="49"/>
      <c r="T388" s="53"/>
      <c r="U388" s="48"/>
      <c r="V388" s="54"/>
    </row>
    <row r="389" spans="2:25" s="41" customFormat="1" ht="20.25" customHeight="1">
      <c r="C389" s="42">
        <f>+IF(E389&lt;&gt;0,MAX($C$1:C388)+1,"")</f>
        <v>360</v>
      </c>
      <c r="D389" s="43">
        <v>111809096</v>
      </c>
      <c r="E389" s="44" t="s">
        <v>84</v>
      </c>
      <c r="F389" s="45" t="s">
        <v>106</v>
      </c>
      <c r="G389" s="46">
        <v>43372</v>
      </c>
      <c r="H389" s="47" t="s">
        <v>24</v>
      </c>
      <c r="I389" s="48" t="s">
        <v>448</v>
      </c>
      <c r="J389" s="46"/>
      <c r="K389" s="49"/>
      <c r="L389" s="50"/>
      <c r="M389" s="50"/>
      <c r="N389" s="50"/>
      <c r="O389" s="51"/>
      <c r="P389" s="49"/>
      <c r="Q389" s="51"/>
      <c r="R389" s="52"/>
      <c r="S389" s="49"/>
      <c r="T389" s="53"/>
      <c r="U389" s="48"/>
      <c r="V389" s="54"/>
    </row>
    <row r="390" spans="2:25" s="41" customFormat="1" ht="20.25" customHeight="1">
      <c r="C390" s="42">
        <f>+IF(E390&lt;&gt;0,MAX($C$1:C389)+1,"")</f>
        <v>361</v>
      </c>
      <c r="D390" s="43">
        <v>102208014</v>
      </c>
      <c r="E390" s="44" t="s">
        <v>84</v>
      </c>
      <c r="F390" s="45" t="s">
        <v>328</v>
      </c>
      <c r="G390" s="46">
        <v>44781</v>
      </c>
      <c r="H390" s="47" t="s">
        <v>24</v>
      </c>
      <c r="I390" s="48" t="s">
        <v>448</v>
      </c>
      <c r="J390" s="46"/>
      <c r="K390" s="49"/>
      <c r="L390" s="50"/>
      <c r="M390" s="50"/>
      <c r="N390" s="50"/>
      <c r="O390" s="51"/>
      <c r="P390" s="49"/>
      <c r="Q390" s="51"/>
      <c r="R390" s="52"/>
      <c r="S390" s="49"/>
      <c r="T390" s="53"/>
      <c r="U390" s="48"/>
      <c r="V390" s="54"/>
    </row>
    <row r="391" spans="2:25" s="41" customFormat="1" ht="20.25" customHeight="1">
      <c r="C391" s="42">
        <f>+IF(E391&lt;&gt;0,MAX($C$1:C390)+1,"")</f>
        <v>362</v>
      </c>
      <c r="D391" s="43">
        <v>102504001</v>
      </c>
      <c r="E391" s="44" t="s">
        <v>615</v>
      </c>
      <c r="F391" s="45" t="s">
        <v>616</v>
      </c>
      <c r="G391" s="46">
        <v>45748</v>
      </c>
      <c r="H391" s="47" t="s">
        <v>24</v>
      </c>
      <c r="I391" s="48" t="s">
        <v>448</v>
      </c>
      <c r="J391" s="46"/>
      <c r="K391" s="49"/>
      <c r="L391" s="50"/>
      <c r="M391" s="50"/>
      <c r="N391" s="50"/>
      <c r="O391" s="51"/>
      <c r="P391" s="49"/>
      <c r="Q391" s="51"/>
      <c r="R391" s="52"/>
      <c r="S391" s="49"/>
      <c r="T391" s="53"/>
      <c r="U391" s="48"/>
      <c r="V391" s="54"/>
    </row>
    <row r="392" spans="2:25" s="41" customFormat="1" ht="20.25" customHeight="1">
      <c r="C392" s="42">
        <f>+IF(E392&lt;&gt;0,MAX($C$1:C391)+1,"")</f>
        <v>363</v>
      </c>
      <c r="D392" s="43">
        <v>102505003</v>
      </c>
      <c r="E392" s="44" t="s">
        <v>617</v>
      </c>
      <c r="F392" s="45" t="s">
        <v>138</v>
      </c>
      <c r="G392" s="46">
        <v>45782</v>
      </c>
      <c r="H392" s="47" t="s">
        <v>24</v>
      </c>
      <c r="I392" s="48" t="s">
        <v>448</v>
      </c>
      <c r="J392" s="46"/>
      <c r="K392" s="49"/>
      <c r="L392" s="50"/>
      <c r="M392" s="50"/>
      <c r="N392" s="50"/>
      <c r="O392" s="51"/>
      <c r="P392" s="49"/>
      <c r="Q392" s="51"/>
      <c r="R392" s="52"/>
      <c r="S392" s="49"/>
      <c r="T392" s="53"/>
      <c r="U392" s="48"/>
      <c r="V392" s="54"/>
    </row>
    <row r="393" spans="2:25" s="41" customFormat="1" ht="20.25" customHeight="1">
      <c r="C393" s="42">
        <f>+IF(E393&lt;&gt;0,MAX($C$1:C392)+1,"")</f>
        <v>364</v>
      </c>
      <c r="D393" s="43">
        <v>102506018</v>
      </c>
      <c r="E393" s="44" t="s">
        <v>618</v>
      </c>
      <c r="F393" s="45" t="s">
        <v>70</v>
      </c>
      <c r="G393" s="46">
        <v>45824</v>
      </c>
      <c r="H393" s="47" t="s">
        <v>24</v>
      </c>
      <c r="I393" s="48" t="s">
        <v>448</v>
      </c>
      <c r="J393" s="46"/>
      <c r="K393" s="49"/>
      <c r="L393" s="50"/>
      <c r="M393" s="50"/>
      <c r="N393" s="50"/>
      <c r="O393" s="51"/>
      <c r="P393" s="49"/>
      <c r="Q393" s="51"/>
      <c r="R393" s="52"/>
      <c r="S393" s="49"/>
      <c r="T393" s="53"/>
      <c r="U393" s="48"/>
      <c r="V393" s="54"/>
    </row>
    <row r="394" spans="2:25" s="41" customFormat="1" ht="20.25" customHeight="1">
      <c r="C394" s="42">
        <f>+IF(E394&lt;&gt;0,MAX($C$1:C393)+1,"")</f>
        <v>365</v>
      </c>
      <c r="D394" s="43">
        <v>102506019</v>
      </c>
      <c r="E394" s="44" t="s">
        <v>619</v>
      </c>
      <c r="F394" s="45" t="s">
        <v>620</v>
      </c>
      <c r="G394" s="46">
        <v>45824</v>
      </c>
      <c r="H394" s="47" t="s">
        <v>24</v>
      </c>
      <c r="I394" s="48" t="s">
        <v>448</v>
      </c>
      <c r="J394" s="46"/>
      <c r="K394" s="49"/>
      <c r="L394" s="50"/>
      <c r="M394" s="50"/>
      <c r="N394" s="50"/>
      <c r="O394" s="51"/>
      <c r="P394" s="49"/>
      <c r="Q394" s="51"/>
      <c r="R394" s="52"/>
      <c r="S394" s="49"/>
      <c r="T394" s="53"/>
      <c r="U394" s="48"/>
      <c r="V394" s="54"/>
    </row>
    <row r="395" spans="2:25" s="41" customFormat="1" ht="20.25" customHeight="1">
      <c r="B395" s="1"/>
      <c r="C395" s="242" t="s">
        <v>451</v>
      </c>
      <c r="D395" s="243"/>
      <c r="E395" s="244"/>
      <c r="F395" s="245"/>
      <c r="G395" s="246"/>
      <c r="H395" s="244"/>
      <c r="I395" s="245"/>
      <c r="J395" s="246"/>
      <c r="K395" s="32"/>
      <c r="L395" s="246"/>
      <c r="M395" s="243"/>
      <c r="N395" s="243"/>
      <c r="O395" s="246"/>
      <c r="P395" s="32"/>
      <c r="Q395" s="246"/>
      <c r="R395" s="247"/>
      <c r="S395" s="32"/>
      <c r="T395" s="248"/>
      <c r="U395" s="245"/>
      <c r="V395" s="54"/>
      <c r="W395" s="1"/>
      <c r="X395" s="1"/>
      <c r="Y395" s="1"/>
    </row>
    <row r="396" spans="2:25" s="41" customFormat="1" ht="20.25" customHeight="1">
      <c r="C396" s="42">
        <f>+IF(E396&lt;&gt;0,MAX($C$1:C394)+1,"")</f>
        <v>366</v>
      </c>
      <c r="D396" s="43">
        <v>100210002</v>
      </c>
      <c r="E396" s="44" t="s">
        <v>348</v>
      </c>
      <c r="F396" s="45" t="s">
        <v>393</v>
      </c>
      <c r="G396" s="46">
        <v>37530</v>
      </c>
      <c r="H396" s="47" t="s">
        <v>31</v>
      </c>
      <c r="I396" s="48" t="s">
        <v>451</v>
      </c>
      <c r="J396" s="46"/>
      <c r="K396" s="49"/>
      <c r="L396" s="50"/>
      <c r="M396" s="50"/>
      <c r="N396" s="50"/>
      <c r="O396" s="51"/>
      <c r="P396" s="49"/>
      <c r="Q396" s="51"/>
      <c r="R396" s="52"/>
      <c r="S396" s="49"/>
      <c r="T396" s="53"/>
      <c r="U396" s="48"/>
      <c r="V396" s="54"/>
    </row>
    <row r="397" spans="2:25" s="41" customFormat="1" ht="20.25" customHeight="1">
      <c r="C397" s="42">
        <f>+IF(E397&lt;&gt;0,MAX($C$1:C396)+1,"")</f>
        <v>367</v>
      </c>
      <c r="D397" s="43">
        <v>102405001</v>
      </c>
      <c r="E397" s="44" t="s">
        <v>318</v>
      </c>
      <c r="F397" s="45" t="s">
        <v>63</v>
      </c>
      <c r="G397" s="46">
        <v>45414</v>
      </c>
      <c r="H397" s="47" t="s">
        <v>24</v>
      </c>
      <c r="I397" s="48" t="s">
        <v>451</v>
      </c>
      <c r="J397" s="46"/>
      <c r="K397" s="49"/>
      <c r="L397" s="50"/>
      <c r="M397" s="50"/>
      <c r="N397" s="50"/>
      <c r="O397" s="51"/>
      <c r="P397" s="49"/>
      <c r="Q397" s="51"/>
      <c r="R397" s="52"/>
      <c r="S397" s="49"/>
      <c r="T397" s="53"/>
      <c r="U397" s="48"/>
      <c r="V397" s="54"/>
    </row>
    <row r="398" spans="2:25" s="41" customFormat="1" ht="20.25" customHeight="1">
      <c r="C398" s="42">
        <f>+IF(E398&lt;&gt;0,MAX($C$1:C397)+1,"")</f>
        <v>368</v>
      </c>
      <c r="D398" s="43">
        <v>102002143</v>
      </c>
      <c r="E398" s="44" t="s">
        <v>452</v>
      </c>
      <c r="F398" s="45" t="s">
        <v>102</v>
      </c>
      <c r="G398" s="46">
        <v>43885</v>
      </c>
      <c r="H398" s="47" t="s">
        <v>24</v>
      </c>
      <c r="I398" s="48" t="s">
        <v>451</v>
      </c>
      <c r="J398" s="46"/>
      <c r="K398" s="49"/>
      <c r="L398" s="50"/>
      <c r="M398" s="50"/>
      <c r="N398" s="50"/>
      <c r="O398" s="51"/>
      <c r="P398" s="49"/>
      <c r="Q398" s="51"/>
      <c r="R398" s="52"/>
      <c r="S398" s="49"/>
      <c r="T398" s="53"/>
      <c r="U398" s="48"/>
      <c r="V398" s="54"/>
    </row>
    <row r="399" spans="2:25" s="41" customFormat="1" ht="20.25" customHeight="1">
      <c r="C399" s="42">
        <f>+IF(E399&lt;&gt;0,MAX($C$1:C398)+1,"")</f>
        <v>369</v>
      </c>
      <c r="D399" s="43">
        <v>102104093</v>
      </c>
      <c r="E399" s="44" t="s">
        <v>188</v>
      </c>
      <c r="F399" s="45" t="s">
        <v>453</v>
      </c>
      <c r="G399" s="46">
        <v>44309</v>
      </c>
      <c r="H399" s="47" t="s">
        <v>24</v>
      </c>
      <c r="I399" s="48" t="s">
        <v>451</v>
      </c>
      <c r="J399" s="46"/>
      <c r="K399" s="49"/>
      <c r="L399" s="50"/>
      <c r="M399" s="50"/>
      <c r="N399" s="50"/>
      <c r="O399" s="51"/>
      <c r="P399" s="49"/>
      <c r="Q399" s="51"/>
      <c r="R399" s="52"/>
      <c r="S399" s="49"/>
      <c r="T399" s="53"/>
      <c r="U399" s="48"/>
      <c r="V399" s="54"/>
    </row>
    <row r="400" spans="2:25" s="41" customFormat="1" ht="20.25" customHeight="1">
      <c r="B400" s="1"/>
      <c r="C400" s="242" t="s">
        <v>454</v>
      </c>
      <c r="D400" s="243"/>
      <c r="E400" s="244"/>
      <c r="F400" s="245"/>
      <c r="G400" s="246"/>
      <c r="H400" s="244"/>
      <c r="I400" s="245"/>
      <c r="J400" s="246"/>
      <c r="K400" s="32"/>
      <c r="L400" s="246"/>
      <c r="M400" s="243"/>
      <c r="N400" s="243"/>
      <c r="O400" s="246"/>
      <c r="P400" s="32"/>
      <c r="Q400" s="246"/>
      <c r="R400" s="247"/>
      <c r="S400" s="32"/>
      <c r="T400" s="248"/>
      <c r="U400" s="245"/>
      <c r="V400" s="54"/>
      <c r="W400" s="1"/>
      <c r="X400" s="1"/>
      <c r="Y400" s="1"/>
    </row>
    <row r="401" spans="3:22" s="41" customFormat="1" ht="20.25" customHeight="1">
      <c r="C401" s="42">
        <f>+IF(E401&lt;&gt;0,MAX($C$1:C399)+1,"")</f>
        <v>370</v>
      </c>
      <c r="D401" s="43">
        <v>109307013</v>
      </c>
      <c r="E401" s="44" t="s">
        <v>455</v>
      </c>
      <c r="F401" s="45" t="s">
        <v>178</v>
      </c>
      <c r="G401" s="46">
        <v>34151</v>
      </c>
      <c r="H401" s="47" t="s">
        <v>456</v>
      </c>
      <c r="I401" s="48" t="s">
        <v>454</v>
      </c>
      <c r="J401" s="46"/>
      <c r="K401" s="49"/>
      <c r="L401" s="50"/>
      <c r="M401" s="50"/>
      <c r="N401" s="50"/>
      <c r="O401" s="51"/>
      <c r="P401" s="49"/>
      <c r="Q401" s="51"/>
      <c r="R401" s="52"/>
      <c r="S401" s="49"/>
      <c r="T401" s="53"/>
      <c r="U401" s="48"/>
      <c r="V401" s="54"/>
    </row>
    <row r="402" spans="3:22" s="41" customFormat="1" ht="20.25" customHeight="1">
      <c r="C402" s="42">
        <f>+IF(E402&lt;&gt;0,MAX($C$1:C401)+1,"")</f>
        <v>371</v>
      </c>
      <c r="D402" s="43">
        <v>100103002</v>
      </c>
      <c r="E402" s="44" t="s">
        <v>457</v>
      </c>
      <c r="F402" s="45" t="s">
        <v>458</v>
      </c>
      <c r="G402" s="46">
        <v>36951</v>
      </c>
      <c r="H402" s="47" t="s">
        <v>424</v>
      </c>
      <c r="I402" s="48" t="s">
        <v>454</v>
      </c>
      <c r="J402" s="46"/>
      <c r="K402" s="49"/>
      <c r="L402" s="50"/>
      <c r="M402" s="50"/>
      <c r="N402" s="50"/>
      <c r="O402" s="51"/>
      <c r="P402" s="49"/>
      <c r="Q402" s="51"/>
      <c r="R402" s="52"/>
      <c r="S402" s="49"/>
      <c r="T402" s="53"/>
      <c r="U402" s="48"/>
      <c r="V402" s="54"/>
    </row>
    <row r="403" spans="3:22" s="41" customFormat="1" ht="20.25" customHeight="1">
      <c r="C403" s="42">
        <f>+IF(E403&lt;&gt;0,MAX($C$1:C402)+1,"")</f>
        <v>372</v>
      </c>
      <c r="D403" s="43">
        <v>100308002</v>
      </c>
      <c r="E403" s="44" t="s">
        <v>348</v>
      </c>
      <c r="F403" s="45" t="s">
        <v>459</v>
      </c>
      <c r="G403" s="46">
        <v>37834</v>
      </c>
      <c r="H403" s="47" t="s">
        <v>24</v>
      </c>
      <c r="I403" s="48" t="s">
        <v>460</v>
      </c>
      <c r="J403" s="46"/>
      <c r="K403" s="49"/>
      <c r="L403" s="50"/>
      <c r="M403" s="50"/>
      <c r="N403" s="50"/>
      <c r="O403" s="51"/>
      <c r="P403" s="49"/>
      <c r="Q403" s="51"/>
      <c r="R403" s="52"/>
      <c r="S403" s="49"/>
      <c r="T403" s="53"/>
      <c r="U403" s="48"/>
      <c r="V403" s="54"/>
    </row>
    <row r="404" spans="3:22" ht="6" customHeight="1">
      <c r="C404" s="7"/>
      <c r="D404" s="8"/>
      <c r="E404" s="7"/>
      <c r="G404" s="35"/>
      <c r="J404" s="35"/>
      <c r="K404" s="24"/>
      <c r="L404" s="7"/>
      <c r="M404" s="8"/>
      <c r="N404" s="7"/>
      <c r="O404" s="35"/>
      <c r="P404" s="24"/>
      <c r="Q404" s="35"/>
      <c r="R404" s="7"/>
      <c r="S404" s="24"/>
    </row>
    <row r="405" spans="3:22" ht="5.25" customHeight="1"/>
    <row r="406" spans="3:22" s="4" customFormat="1" ht="12">
      <c r="F406" s="55"/>
      <c r="G406" s="55"/>
      <c r="H406" s="15"/>
      <c r="I406" s="56"/>
      <c r="J406" s="55"/>
      <c r="M406" s="269" t="s">
        <v>461</v>
      </c>
      <c r="N406" s="269"/>
      <c r="O406" s="269"/>
      <c r="P406" s="269"/>
      <c r="Q406" s="269"/>
      <c r="R406" s="269"/>
      <c r="T406" s="15"/>
      <c r="U406" s="56"/>
    </row>
    <row r="407" spans="3:22" s="4" customFormat="1" ht="12.75" customHeight="1">
      <c r="C407" s="270" t="s">
        <v>462</v>
      </c>
      <c r="D407" s="270"/>
      <c r="E407" s="270"/>
      <c r="F407" s="270"/>
      <c r="G407" s="57"/>
      <c r="H407" s="270" t="s">
        <v>463</v>
      </c>
      <c r="I407" s="270"/>
      <c r="J407" s="57"/>
      <c r="L407" s="58"/>
      <c r="M407" s="270" t="s">
        <v>464</v>
      </c>
      <c r="N407" s="270"/>
      <c r="O407" s="270"/>
      <c r="P407" s="270"/>
      <c r="Q407" s="270"/>
      <c r="R407" s="270"/>
      <c r="T407" s="270"/>
      <c r="U407" s="270"/>
    </row>
    <row r="412" spans="3:22">
      <c r="C412" s="261"/>
      <c r="D412" s="262"/>
      <c r="E412" s="262"/>
      <c r="F412" s="262"/>
      <c r="G412" s="262"/>
      <c r="H412" s="262"/>
      <c r="I412" s="262"/>
      <c r="J412" s="262"/>
      <c r="K412" s="262"/>
      <c r="L412" s="262"/>
      <c r="M412" s="262"/>
      <c r="N412" s="262"/>
      <c r="O412" s="262"/>
      <c r="P412" s="262"/>
      <c r="Q412" s="262"/>
      <c r="R412" s="262"/>
      <c r="T412" s="1"/>
      <c r="U412" s="1"/>
    </row>
    <row r="413" spans="3:22">
      <c r="C413" s="262"/>
      <c r="D413" s="262"/>
      <c r="E413" s="262"/>
      <c r="F413" s="262"/>
      <c r="G413" s="262"/>
      <c r="H413" s="262"/>
      <c r="I413" s="262"/>
      <c r="J413" s="262"/>
      <c r="K413" s="262"/>
      <c r="L413" s="262"/>
      <c r="M413" s="262"/>
      <c r="N413" s="262"/>
      <c r="O413" s="262"/>
      <c r="P413" s="262"/>
      <c r="Q413" s="262"/>
      <c r="R413" s="262"/>
      <c r="T413" s="1"/>
      <c r="U413" s="1"/>
    </row>
  </sheetData>
  <autoFilter ref="A9:Y403"/>
  <sortState ref="B11:Y388">
    <sortCondition ref="V11:V388"/>
  </sortState>
  <mergeCells count="18">
    <mergeCell ref="E1:T2"/>
    <mergeCell ref="E3:T3"/>
    <mergeCell ref="C5:C6"/>
    <mergeCell ref="D5:D6"/>
    <mergeCell ref="E5:E6"/>
    <mergeCell ref="F5:F6"/>
    <mergeCell ref="G5:G6"/>
    <mergeCell ref="H5:I6"/>
    <mergeCell ref="J5:J6"/>
    <mergeCell ref="Q5:Q6"/>
    <mergeCell ref="C412:R413"/>
    <mergeCell ref="R5:R6"/>
    <mergeCell ref="T5:U6"/>
    <mergeCell ref="M406:R406"/>
    <mergeCell ref="C407:F407"/>
    <mergeCell ref="H407:I407"/>
    <mergeCell ref="M407:R407"/>
    <mergeCell ref="T407:U407"/>
  </mergeCells>
  <conditionalFormatting sqref="D12 D14 D16:D17 D19:D24 D26:D64 D76 D78:D90 D66:D74 D92:D100 D102:D107 D109:D138 D140:D192 D194:D201 D203:D205 D207:D218 D220:D222 D224:D259 D261:D266 D268:D386 D388:D394 D396:D399 D401:D403">
    <cfRule type="duplicateValues" dxfId="24" priority="34"/>
  </conditionalFormatting>
  <conditionalFormatting sqref="D11:D12 D14 D16:D17 D19:D24 D26:D64 D76 D78:D90 D66:D74 D92:D100 D102:D107 D109:D138 D140:D192 D194:D201 D203:D205 D207:D218 D220:D222 D224:D259 D261:D266 D268:D386 D388:D394 D396:D399 D401:D403">
    <cfRule type="duplicateValues" dxfId="23" priority="20"/>
  </conditionalFormatting>
  <conditionalFormatting sqref="D18">
    <cfRule type="duplicateValues" dxfId="22" priority="19"/>
  </conditionalFormatting>
  <conditionalFormatting sqref="D25">
    <cfRule type="duplicateValues" dxfId="21" priority="18"/>
  </conditionalFormatting>
  <conditionalFormatting sqref="D75">
    <cfRule type="duplicateValues" dxfId="20" priority="17"/>
  </conditionalFormatting>
  <conditionalFormatting sqref="D77">
    <cfRule type="duplicateValues" dxfId="19" priority="16"/>
  </conditionalFormatting>
  <conditionalFormatting sqref="D65">
    <cfRule type="duplicateValues" dxfId="18" priority="15"/>
  </conditionalFormatting>
  <conditionalFormatting sqref="D91">
    <cfRule type="duplicateValues" dxfId="17" priority="14"/>
  </conditionalFormatting>
  <conditionalFormatting sqref="D101">
    <cfRule type="duplicateValues" dxfId="16" priority="13"/>
  </conditionalFormatting>
  <conditionalFormatting sqref="D108">
    <cfRule type="duplicateValues" dxfId="15" priority="12"/>
  </conditionalFormatting>
  <conditionalFormatting sqref="D139">
    <cfRule type="duplicateValues" dxfId="14" priority="11"/>
  </conditionalFormatting>
  <conditionalFormatting sqref="D193">
    <cfRule type="duplicateValues" dxfId="13" priority="10"/>
  </conditionalFormatting>
  <conditionalFormatting sqref="D202">
    <cfRule type="duplicateValues" dxfId="12" priority="9"/>
  </conditionalFormatting>
  <conditionalFormatting sqref="D206">
    <cfRule type="duplicateValues" dxfId="11" priority="8"/>
  </conditionalFormatting>
  <conditionalFormatting sqref="D219">
    <cfRule type="duplicateValues" dxfId="10" priority="7"/>
  </conditionalFormatting>
  <conditionalFormatting sqref="D223">
    <cfRule type="duplicateValues" dxfId="9" priority="6"/>
  </conditionalFormatting>
  <conditionalFormatting sqref="D260">
    <cfRule type="duplicateValues" dxfId="8" priority="5"/>
  </conditionalFormatting>
  <conditionalFormatting sqref="D267">
    <cfRule type="duplicateValues" dxfId="7" priority="4"/>
  </conditionalFormatting>
  <conditionalFormatting sqref="D387">
    <cfRule type="duplicateValues" dxfId="6" priority="3"/>
  </conditionalFormatting>
  <conditionalFormatting sqref="D395">
    <cfRule type="duplicateValues" dxfId="5" priority="2"/>
  </conditionalFormatting>
  <conditionalFormatting sqref="D400">
    <cfRule type="duplicateValues" dxfId="4" priority="1"/>
  </conditionalFormatting>
  <conditionalFormatting sqref="D11 D15 D13">
    <cfRule type="duplicateValues" dxfId="3" priority="43"/>
  </conditionalFormatting>
  <printOptions horizontalCentered="1"/>
  <pageMargins left="0" right="0" top="0" bottom="0" header="0" footer="0"/>
  <pageSetup paperSize="9" scale="81" orientation="portrait" r:id="rId1"/>
  <headerFooter alignWithMargins="0">
    <oddFooter>&amp;L&amp;"Arial,nghiêng"&amp;8Lưu ý: Biểu mẫu này thuộc HT QLCL Công ty CP ĐT &amp; SX Giày Thái Bình. Mọi yêu cầu sử dụng/điều chỉnh phải thực hiện theo quy trình 4.2.3: quy trình kiểm sóat tài liệu-hiện hành tại công ty.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4"/>
  </sheetPr>
  <dimension ref="A1:S82"/>
  <sheetViews>
    <sheetView showGridLines="0" showZeros="0" tabSelected="1" zoomScaleNormal="100" zoomScaleSheetLayoutView="85" workbookViewId="0">
      <selection activeCell="M6" sqref="M6:Q6"/>
    </sheetView>
  </sheetViews>
  <sheetFormatPr defaultColWidth="11.42578125" defaultRowHeight="12.75"/>
  <cols>
    <col min="1" max="1" width="3.85546875" style="76" customWidth="1"/>
    <col min="2" max="2" width="4.28515625" style="77" customWidth="1"/>
    <col min="3" max="3" width="16" style="61" customWidth="1"/>
    <col min="4" max="4" width="13" style="61" customWidth="1"/>
    <col min="5" max="5" width="11" style="61" customWidth="1"/>
    <col min="6" max="6" width="11.85546875" style="61" customWidth="1"/>
    <col min="7" max="7" width="10.28515625" style="61" customWidth="1"/>
    <col min="8" max="8" width="2.42578125" style="61" customWidth="1"/>
    <col min="9" max="9" width="7.85546875" style="61" customWidth="1"/>
    <col min="10" max="10" width="5" style="61" customWidth="1"/>
    <col min="11" max="11" width="7.85546875" style="61" customWidth="1"/>
    <col min="12" max="12" width="3.28515625" style="61" customWidth="1"/>
    <col min="13" max="13" width="6.7109375" style="76" customWidth="1"/>
    <col min="14" max="14" width="4.85546875" style="116" customWidth="1"/>
    <col min="15" max="15" width="7" style="116" customWidth="1"/>
    <col min="16" max="16" width="4.85546875" style="116" customWidth="1"/>
    <col min="17" max="17" width="7" style="116" customWidth="1"/>
    <col min="18" max="18" width="5.28515625" style="61" hidden="1" customWidth="1"/>
    <col min="19" max="16384" width="11.42578125" style="61"/>
  </cols>
  <sheetData>
    <row r="1" spans="1:18" ht="20.25" customHeight="1">
      <c r="A1" s="59" t="s">
        <v>465</v>
      </c>
      <c r="B1" s="60"/>
      <c r="C1" s="60"/>
      <c r="D1" s="60"/>
      <c r="E1" s="60"/>
      <c r="F1" s="60"/>
      <c r="G1" s="60"/>
      <c r="H1" s="60"/>
      <c r="I1" s="60"/>
      <c r="J1" s="60"/>
      <c r="K1" s="60"/>
      <c r="L1" s="60"/>
      <c r="M1" s="60"/>
      <c r="N1" s="60"/>
      <c r="O1" s="235"/>
      <c r="P1" s="60"/>
      <c r="Q1" s="235"/>
    </row>
    <row r="2" spans="1:18" ht="20.25">
      <c r="A2" s="62" t="s">
        <v>580</v>
      </c>
      <c r="B2" s="60"/>
      <c r="C2" s="60"/>
      <c r="D2" s="60"/>
      <c r="E2" s="60"/>
      <c r="F2" s="60"/>
      <c r="G2" s="60"/>
      <c r="H2" s="60"/>
      <c r="I2" s="60"/>
      <c r="J2" s="60"/>
      <c r="K2" s="60"/>
      <c r="L2" s="60"/>
      <c r="M2" s="60"/>
      <c r="N2" s="60"/>
      <c r="O2" s="235"/>
      <c r="P2" s="60"/>
      <c r="Q2" s="235"/>
    </row>
    <row r="3" spans="1:18" ht="9" customHeight="1">
      <c r="A3" s="63"/>
      <c r="B3" s="63"/>
      <c r="C3" s="64"/>
      <c r="D3" s="64"/>
      <c r="E3" s="64"/>
      <c r="F3" s="364"/>
      <c r="G3" s="364"/>
      <c r="H3" s="364"/>
      <c r="I3" s="364"/>
      <c r="J3" s="364"/>
      <c r="K3" s="364"/>
      <c r="L3" s="364"/>
      <c r="M3" s="364"/>
      <c r="N3" s="64"/>
      <c r="O3" s="64"/>
      <c r="P3" s="64"/>
      <c r="Q3" s="64"/>
      <c r="R3" s="64"/>
    </row>
    <row r="4" spans="1:18" ht="23.25" customHeight="1">
      <c r="A4" s="65" t="s">
        <v>466</v>
      </c>
      <c r="B4" s="66"/>
      <c r="C4" s="66"/>
      <c r="D4" s="293" t="s">
        <v>686</v>
      </c>
      <c r="E4" s="294"/>
      <c r="F4" s="294"/>
      <c r="G4" s="295"/>
      <c r="H4" s="365" t="s">
        <v>3</v>
      </c>
      <c r="I4" s="366"/>
      <c r="J4" s="366"/>
      <c r="K4" s="366"/>
      <c r="L4" s="367"/>
      <c r="M4" s="293">
        <v>102207006</v>
      </c>
      <c r="N4" s="294"/>
      <c r="O4" s="294"/>
      <c r="P4" s="294"/>
      <c r="Q4" s="295"/>
      <c r="R4" s="67"/>
    </row>
    <row r="5" spans="1:18" ht="23.25" customHeight="1">
      <c r="A5" s="68" t="s">
        <v>467</v>
      </c>
      <c r="B5" s="69"/>
      <c r="C5" s="69"/>
      <c r="D5" s="288" t="s">
        <v>687</v>
      </c>
      <c r="E5" s="289"/>
      <c r="F5" s="289"/>
      <c r="G5" s="290"/>
      <c r="H5" s="368" t="s">
        <v>468</v>
      </c>
      <c r="I5" s="369"/>
      <c r="J5" s="369"/>
      <c r="K5" s="369"/>
      <c r="L5" s="370"/>
      <c r="M5" s="288"/>
      <c r="N5" s="289"/>
      <c r="O5" s="289"/>
      <c r="P5" s="289"/>
      <c r="Q5" s="290"/>
      <c r="R5" s="70"/>
    </row>
    <row r="6" spans="1:18" ht="23.25" customHeight="1">
      <c r="A6" s="71" t="s">
        <v>469</v>
      </c>
      <c r="B6" s="72"/>
      <c r="C6" s="72"/>
      <c r="D6" s="350" t="s">
        <v>584</v>
      </c>
      <c r="E6" s="351"/>
      <c r="F6" s="351"/>
      <c r="G6" s="352"/>
      <c r="H6" s="353" t="s">
        <v>470</v>
      </c>
      <c r="I6" s="354"/>
      <c r="J6" s="354"/>
      <c r="K6" s="354"/>
      <c r="L6" s="355"/>
      <c r="M6" s="356" t="s">
        <v>689</v>
      </c>
      <c r="N6" s="357"/>
      <c r="O6" s="357"/>
      <c r="P6" s="357"/>
      <c r="Q6" s="358"/>
      <c r="R6" s="73"/>
    </row>
    <row r="7" spans="1:18" s="241" customFormat="1" ht="19.5" customHeight="1">
      <c r="A7" s="236"/>
      <c r="B7" s="237"/>
      <c r="C7" s="238" t="s">
        <v>471</v>
      </c>
      <c r="D7" s="239"/>
      <c r="E7" s="239"/>
      <c r="F7" s="239"/>
      <c r="G7" s="239"/>
      <c r="H7" s="239"/>
      <c r="I7" s="239"/>
      <c r="J7" s="239"/>
      <c r="K7" s="239"/>
      <c r="L7" s="239"/>
      <c r="M7" s="236"/>
      <c r="N7" s="240"/>
      <c r="O7" s="240"/>
      <c r="P7" s="240"/>
      <c r="Q7" s="240"/>
    </row>
    <row r="8" spans="1:18" s="74" customFormat="1" ht="18" customHeight="1">
      <c r="A8" s="321" t="s">
        <v>2</v>
      </c>
      <c r="B8" s="359" t="s">
        <v>472</v>
      </c>
      <c r="C8" s="322" t="s">
        <v>473</v>
      </c>
      <c r="D8" s="361"/>
      <c r="E8" s="361"/>
      <c r="F8" s="361"/>
      <c r="G8" s="361"/>
      <c r="H8" s="361"/>
      <c r="I8" s="361"/>
      <c r="J8" s="361"/>
      <c r="K8" s="361"/>
      <c r="L8" s="323"/>
      <c r="M8" s="359" t="s">
        <v>474</v>
      </c>
      <c r="N8" s="327" t="s">
        <v>9</v>
      </c>
      <c r="O8" s="329"/>
      <c r="P8" s="327" t="s">
        <v>475</v>
      </c>
      <c r="Q8" s="329"/>
      <c r="R8" s="348" t="s">
        <v>476</v>
      </c>
    </row>
    <row r="9" spans="1:18">
      <c r="A9" s="321"/>
      <c r="B9" s="360"/>
      <c r="C9" s="324"/>
      <c r="D9" s="362"/>
      <c r="E9" s="362"/>
      <c r="F9" s="362"/>
      <c r="G9" s="362"/>
      <c r="H9" s="362"/>
      <c r="I9" s="362"/>
      <c r="J9" s="362"/>
      <c r="K9" s="362"/>
      <c r="L9" s="325"/>
      <c r="M9" s="363"/>
      <c r="N9" s="75" t="s">
        <v>477</v>
      </c>
      <c r="O9" s="75" t="s">
        <v>474</v>
      </c>
      <c r="P9" s="75" t="s">
        <v>477</v>
      </c>
      <c r="Q9" s="75" t="s">
        <v>474</v>
      </c>
      <c r="R9" s="349"/>
    </row>
    <row r="10" spans="1:18" ht="3.75" customHeight="1">
      <c r="C10" s="78"/>
      <c r="D10" s="78"/>
      <c r="E10" s="78"/>
      <c r="F10" s="78"/>
      <c r="G10" s="78"/>
      <c r="H10" s="78"/>
      <c r="I10" s="78"/>
      <c r="J10" s="78"/>
      <c r="K10" s="78"/>
      <c r="L10" s="78"/>
      <c r="N10" s="79"/>
      <c r="O10" s="79"/>
      <c r="P10" s="79"/>
      <c r="Q10" s="79"/>
      <c r="R10" s="76"/>
    </row>
    <row r="11" spans="1:18" s="89" customFormat="1" ht="30" customHeight="1">
      <c r="A11" s="80" t="s">
        <v>478</v>
      </c>
      <c r="B11" s="81" t="s">
        <v>479</v>
      </c>
      <c r="C11" s="82"/>
      <c r="D11" s="83"/>
      <c r="E11" s="83"/>
      <c r="F11" s="83"/>
      <c r="G11" s="83"/>
      <c r="H11" s="83"/>
      <c r="I11" s="83"/>
      <c r="J11" s="83"/>
      <c r="K11" s="83"/>
      <c r="L11" s="84"/>
      <c r="M11" s="85">
        <f>+M12+M17+M22</f>
        <v>50</v>
      </c>
      <c r="N11" s="86"/>
      <c r="O11" s="87">
        <f>+O12+O17+O22</f>
        <v>33</v>
      </c>
      <c r="P11" s="86"/>
      <c r="Q11" s="87">
        <f>+Q12+Q17+Q22</f>
        <v>0</v>
      </c>
      <c r="R11" s="88"/>
    </row>
    <row r="12" spans="1:18" s="96" customFormat="1" ht="30" customHeight="1">
      <c r="A12" s="90" t="s">
        <v>480</v>
      </c>
      <c r="B12" s="91" t="s">
        <v>481</v>
      </c>
      <c r="C12" s="92"/>
      <c r="D12" s="92"/>
      <c r="E12" s="92"/>
      <c r="F12" s="92"/>
      <c r="G12" s="92"/>
      <c r="H12" s="92"/>
      <c r="I12" s="92"/>
      <c r="J12" s="92"/>
      <c r="K12" s="92"/>
      <c r="L12" s="92"/>
      <c r="M12" s="93">
        <f>+MAX(M13:M16)</f>
        <v>15</v>
      </c>
      <c r="N12" s="94"/>
      <c r="O12" s="95">
        <f>+MAX(O13:O16)</f>
        <v>11</v>
      </c>
      <c r="P12" s="94"/>
      <c r="Q12" s="95">
        <f>+MAX(Q13:Q16)</f>
        <v>0</v>
      </c>
      <c r="R12" s="92"/>
    </row>
    <row r="13" spans="1:18" ht="30" customHeight="1">
      <c r="A13" s="97"/>
      <c r="B13" s="98">
        <v>1</v>
      </c>
      <c r="C13" s="342" t="s">
        <v>482</v>
      </c>
      <c r="D13" s="343"/>
      <c r="E13" s="343"/>
      <c r="F13" s="343"/>
      <c r="G13" s="343"/>
      <c r="H13" s="343"/>
      <c r="I13" s="343"/>
      <c r="J13" s="343"/>
      <c r="K13" s="343"/>
      <c r="L13" s="344"/>
      <c r="M13" s="99">
        <v>15</v>
      </c>
      <c r="N13" s="100"/>
      <c r="O13" s="101">
        <f>+$M13*COUNTA(N13)</f>
        <v>0</v>
      </c>
      <c r="P13" s="100"/>
      <c r="Q13" s="101">
        <f>+$M13*COUNTA(P13)</f>
        <v>0</v>
      </c>
      <c r="R13" s="102"/>
    </row>
    <row r="14" spans="1:18" ht="30" customHeight="1">
      <c r="A14" s="97"/>
      <c r="B14" s="103">
        <v>2</v>
      </c>
      <c r="C14" s="333" t="s">
        <v>483</v>
      </c>
      <c r="D14" s="334"/>
      <c r="E14" s="334"/>
      <c r="F14" s="334"/>
      <c r="G14" s="334"/>
      <c r="H14" s="334"/>
      <c r="I14" s="334"/>
      <c r="J14" s="334"/>
      <c r="K14" s="334"/>
      <c r="L14" s="335"/>
      <c r="M14" s="104">
        <v>11</v>
      </c>
      <c r="N14" s="100" t="s">
        <v>688</v>
      </c>
      <c r="O14" s="106">
        <f>+$M14*COUNTA(N14)</f>
        <v>11</v>
      </c>
      <c r="P14" s="105"/>
      <c r="Q14" s="106">
        <f>+$M14*COUNTA(P14)</f>
        <v>0</v>
      </c>
      <c r="R14" s="107"/>
    </row>
    <row r="15" spans="1:18" ht="30" customHeight="1">
      <c r="A15" s="97"/>
      <c r="B15" s="103">
        <v>3</v>
      </c>
      <c r="C15" s="333" t="s">
        <v>484</v>
      </c>
      <c r="D15" s="334"/>
      <c r="E15" s="334"/>
      <c r="F15" s="334"/>
      <c r="G15" s="334"/>
      <c r="H15" s="334"/>
      <c r="I15" s="334"/>
      <c r="J15" s="334"/>
      <c r="K15" s="334"/>
      <c r="L15" s="335"/>
      <c r="M15" s="104">
        <v>7</v>
      </c>
      <c r="N15" s="100"/>
      <c r="O15" s="106">
        <f>+$M15*COUNTA(N15)</f>
        <v>0</v>
      </c>
      <c r="P15" s="105"/>
      <c r="Q15" s="106">
        <f>+$M15*COUNTA(P15)</f>
        <v>0</v>
      </c>
      <c r="R15" s="107"/>
    </row>
    <row r="16" spans="1:18" ht="30" customHeight="1">
      <c r="A16" s="97"/>
      <c r="B16" s="108">
        <v>4</v>
      </c>
      <c r="C16" s="336" t="s">
        <v>485</v>
      </c>
      <c r="D16" s="337"/>
      <c r="E16" s="337"/>
      <c r="F16" s="337"/>
      <c r="G16" s="337"/>
      <c r="H16" s="337"/>
      <c r="I16" s="337"/>
      <c r="J16" s="337"/>
      <c r="K16" s="337"/>
      <c r="L16" s="338"/>
      <c r="M16" s="109">
        <v>3</v>
      </c>
      <c r="N16" s="110"/>
      <c r="O16" s="111">
        <f>+$M16*COUNTA(N16)</f>
        <v>0</v>
      </c>
      <c r="P16" s="110"/>
      <c r="Q16" s="111">
        <f>+$M16*COUNTA(P16)</f>
        <v>0</v>
      </c>
      <c r="R16" s="112"/>
    </row>
    <row r="17" spans="1:18" s="96" customFormat="1" ht="30" customHeight="1">
      <c r="A17" s="90" t="s">
        <v>486</v>
      </c>
      <c r="B17" s="91" t="s">
        <v>487</v>
      </c>
      <c r="C17" s="113"/>
      <c r="D17" s="113"/>
      <c r="E17" s="113"/>
      <c r="F17" s="113"/>
      <c r="G17" s="113"/>
      <c r="H17" s="113"/>
      <c r="I17" s="113"/>
      <c r="J17" s="113"/>
      <c r="K17" s="113"/>
      <c r="L17" s="113"/>
      <c r="M17" s="93">
        <f>+MAX(M18:M21)</f>
        <v>20</v>
      </c>
      <c r="N17" s="94"/>
      <c r="O17" s="95">
        <f>+MAX(O18:O21)</f>
        <v>15</v>
      </c>
      <c r="P17" s="94"/>
      <c r="Q17" s="95">
        <f>+MAX(Q18:Q21)</f>
        <v>0</v>
      </c>
      <c r="R17" s="92"/>
    </row>
    <row r="18" spans="1:18" ht="30" customHeight="1">
      <c r="A18" s="97"/>
      <c r="B18" s="98">
        <v>1</v>
      </c>
      <c r="C18" s="342" t="s">
        <v>488</v>
      </c>
      <c r="D18" s="343"/>
      <c r="E18" s="343"/>
      <c r="F18" s="343"/>
      <c r="G18" s="343"/>
      <c r="H18" s="343"/>
      <c r="I18" s="343"/>
      <c r="J18" s="343"/>
      <c r="K18" s="343"/>
      <c r="L18" s="344"/>
      <c r="M18" s="99">
        <v>20</v>
      </c>
      <c r="N18" s="105"/>
      <c r="O18" s="101">
        <f>+$M18*COUNTA(N18)</f>
        <v>0</v>
      </c>
      <c r="P18" s="100"/>
      <c r="Q18" s="101">
        <f>+$M18*COUNTA(P18)</f>
        <v>0</v>
      </c>
      <c r="R18" s="102"/>
    </row>
    <row r="19" spans="1:18" ht="30" customHeight="1">
      <c r="A19" s="97"/>
      <c r="B19" s="103">
        <v>2</v>
      </c>
      <c r="C19" s="333" t="s">
        <v>489</v>
      </c>
      <c r="D19" s="334"/>
      <c r="E19" s="334"/>
      <c r="F19" s="334"/>
      <c r="G19" s="334"/>
      <c r="H19" s="334"/>
      <c r="I19" s="334"/>
      <c r="J19" s="334"/>
      <c r="K19" s="334"/>
      <c r="L19" s="335"/>
      <c r="M19" s="104">
        <v>15</v>
      </c>
      <c r="N19" s="105" t="s">
        <v>688</v>
      </c>
      <c r="O19" s="106">
        <f>+$M19*COUNTA(N19)</f>
        <v>15</v>
      </c>
      <c r="P19" s="105"/>
      <c r="Q19" s="106">
        <f>+$M19*COUNTA(P19)</f>
        <v>0</v>
      </c>
      <c r="R19" s="107"/>
    </row>
    <row r="20" spans="1:18" ht="30" customHeight="1">
      <c r="A20" s="97"/>
      <c r="B20" s="103">
        <v>3</v>
      </c>
      <c r="C20" s="333" t="s">
        <v>490</v>
      </c>
      <c r="D20" s="334"/>
      <c r="E20" s="334"/>
      <c r="F20" s="334"/>
      <c r="G20" s="334"/>
      <c r="H20" s="334"/>
      <c r="I20" s="334"/>
      <c r="J20" s="334"/>
      <c r="K20" s="334"/>
      <c r="L20" s="335"/>
      <c r="M20" s="104">
        <v>10</v>
      </c>
      <c r="N20" s="105"/>
      <c r="O20" s="106">
        <f>+$M20*COUNTA(N20)</f>
        <v>0</v>
      </c>
      <c r="P20" s="105"/>
      <c r="Q20" s="106">
        <f>+$M20*COUNTA(P20)</f>
        <v>0</v>
      </c>
      <c r="R20" s="107"/>
    </row>
    <row r="21" spans="1:18" ht="30" customHeight="1">
      <c r="A21" s="97"/>
      <c r="B21" s="108">
        <v>4</v>
      </c>
      <c r="C21" s="336" t="s">
        <v>491</v>
      </c>
      <c r="D21" s="337"/>
      <c r="E21" s="337"/>
      <c r="F21" s="337"/>
      <c r="G21" s="337"/>
      <c r="H21" s="337"/>
      <c r="I21" s="337"/>
      <c r="J21" s="337"/>
      <c r="K21" s="337"/>
      <c r="L21" s="338"/>
      <c r="M21" s="109">
        <v>5</v>
      </c>
      <c r="N21" s="110"/>
      <c r="O21" s="111">
        <f>+$M21*COUNTA(N21)</f>
        <v>0</v>
      </c>
      <c r="P21" s="110"/>
      <c r="Q21" s="111">
        <f>+$M21*COUNTA(P21)</f>
        <v>0</v>
      </c>
      <c r="R21" s="112"/>
    </row>
    <row r="22" spans="1:18" s="96" customFormat="1" ht="30" customHeight="1">
      <c r="A22" s="90" t="s">
        <v>492</v>
      </c>
      <c r="B22" s="91" t="s">
        <v>493</v>
      </c>
      <c r="C22" s="113"/>
      <c r="D22" s="113"/>
      <c r="E22" s="113"/>
      <c r="F22" s="113"/>
      <c r="G22" s="113"/>
      <c r="H22" s="113"/>
      <c r="I22" s="113"/>
      <c r="J22" s="113"/>
      <c r="K22" s="113"/>
      <c r="L22" s="113"/>
      <c r="M22" s="93">
        <f>+MAX(M23:M26)</f>
        <v>15</v>
      </c>
      <c r="N22" s="94"/>
      <c r="O22" s="95">
        <f>+MAX(O23:O26)</f>
        <v>7</v>
      </c>
      <c r="P22" s="94"/>
      <c r="Q22" s="95">
        <f>+MAX(Q23:Q26)</f>
        <v>0</v>
      </c>
      <c r="R22" s="92"/>
    </row>
    <row r="23" spans="1:18" ht="30" customHeight="1">
      <c r="A23" s="97"/>
      <c r="B23" s="114">
        <v>1</v>
      </c>
      <c r="C23" s="342" t="s">
        <v>494</v>
      </c>
      <c r="D23" s="343"/>
      <c r="E23" s="343"/>
      <c r="F23" s="343"/>
      <c r="G23" s="343"/>
      <c r="H23" s="343"/>
      <c r="I23" s="343"/>
      <c r="J23" s="343"/>
      <c r="K23" s="343"/>
      <c r="L23" s="344"/>
      <c r="M23" s="99">
        <v>15</v>
      </c>
      <c r="N23" s="105"/>
      <c r="O23" s="101">
        <f>+$M23*COUNTA(N23)</f>
        <v>0</v>
      </c>
      <c r="P23" s="100"/>
      <c r="Q23" s="101">
        <f>+$M23*COUNTA(P23)</f>
        <v>0</v>
      </c>
      <c r="R23" s="102"/>
    </row>
    <row r="24" spans="1:18" ht="30" customHeight="1">
      <c r="A24" s="97"/>
      <c r="B24" s="103">
        <v>2</v>
      </c>
      <c r="C24" s="333" t="s">
        <v>495</v>
      </c>
      <c r="D24" s="334"/>
      <c r="E24" s="334"/>
      <c r="F24" s="334"/>
      <c r="G24" s="334"/>
      <c r="H24" s="334"/>
      <c r="I24" s="334"/>
      <c r="J24" s="334"/>
      <c r="K24" s="334"/>
      <c r="L24" s="335"/>
      <c r="M24" s="104">
        <v>11</v>
      </c>
      <c r="N24" s="105"/>
      <c r="O24" s="106">
        <f>+$M24*COUNTA(N24)</f>
        <v>0</v>
      </c>
      <c r="P24" s="105"/>
      <c r="Q24" s="106">
        <f>+$M24*COUNTA(P24)</f>
        <v>0</v>
      </c>
      <c r="R24" s="107"/>
    </row>
    <row r="25" spans="1:18" ht="30" customHeight="1">
      <c r="A25" s="97"/>
      <c r="B25" s="103">
        <v>3</v>
      </c>
      <c r="C25" s="333" t="s">
        <v>496</v>
      </c>
      <c r="D25" s="334"/>
      <c r="E25" s="334"/>
      <c r="F25" s="334"/>
      <c r="G25" s="334"/>
      <c r="H25" s="334"/>
      <c r="I25" s="334"/>
      <c r="J25" s="334"/>
      <c r="K25" s="334"/>
      <c r="L25" s="335"/>
      <c r="M25" s="104">
        <v>7</v>
      </c>
      <c r="N25" s="105" t="s">
        <v>688</v>
      </c>
      <c r="O25" s="106">
        <f>+$M25*COUNTA(N25)</f>
        <v>7</v>
      </c>
      <c r="P25" s="105"/>
      <c r="Q25" s="106">
        <f>+$M25*COUNTA(P25)</f>
        <v>0</v>
      </c>
      <c r="R25" s="107"/>
    </row>
    <row r="26" spans="1:18" ht="30" customHeight="1">
      <c r="A26" s="97"/>
      <c r="B26" s="108">
        <v>4</v>
      </c>
      <c r="C26" s="336" t="s">
        <v>497</v>
      </c>
      <c r="D26" s="337"/>
      <c r="E26" s="337"/>
      <c r="F26" s="337"/>
      <c r="G26" s="337"/>
      <c r="H26" s="337"/>
      <c r="I26" s="337"/>
      <c r="J26" s="337"/>
      <c r="K26" s="337"/>
      <c r="L26" s="338"/>
      <c r="M26" s="109">
        <v>3</v>
      </c>
      <c r="N26" s="110"/>
      <c r="O26" s="111">
        <f>+$M26*COUNTA(N26)</f>
        <v>0</v>
      </c>
      <c r="P26" s="110"/>
      <c r="Q26" s="111">
        <f>+$M26*COUNTA(P26)</f>
        <v>0</v>
      </c>
      <c r="R26" s="112"/>
    </row>
    <row r="27" spans="1:18" ht="26.25" customHeight="1">
      <c r="B27" s="76"/>
      <c r="C27" s="115"/>
      <c r="D27" s="115"/>
      <c r="E27" s="115"/>
      <c r="F27" s="115"/>
      <c r="G27" s="115"/>
      <c r="H27" s="115"/>
      <c r="I27" s="115"/>
      <c r="J27" s="115"/>
      <c r="K27" s="115"/>
      <c r="L27" s="115"/>
      <c r="M27" s="78"/>
      <c r="O27" s="117"/>
      <c r="Q27" s="117"/>
    </row>
    <row r="28" spans="1:18" s="89" customFormat="1" ht="30" customHeight="1">
      <c r="A28" s="80" t="s">
        <v>498</v>
      </c>
      <c r="B28" s="81" t="s">
        <v>499</v>
      </c>
      <c r="C28" s="118"/>
      <c r="D28" s="119"/>
      <c r="E28" s="119"/>
      <c r="F28" s="119"/>
      <c r="G28" s="119"/>
      <c r="H28" s="119"/>
      <c r="I28" s="119"/>
      <c r="J28" s="119"/>
      <c r="K28" s="119"/>
      <c r="L28" s="120"/>
      <c r="M28" s="85">
        <f>+M29+M34</f>
        <v>25</v>
      </c>
      <c r="N28" s="86"/>
      <c r="O28" s="85">
        <f>+O29+O34</f>
        <v>14</v>
      </c>
      <c r="P28" s="86"/>
      <c r="Q28" s="85">
        <f>+Q29+Q34</f>
        <v>0</v>
      </c>
      <c r="R28" s="88"/>
    </row>
    <row r="29" spans="1:18" s="96" customFormat="1" ht="30" customHeight="1">
      <c r="A29" s="90" t="s">
        <v>480</v>
      </c>
      <c r="B29" s="91" t="s">
        <v>500</v>
      </c>
      <c r="C29" s="113"/>
      <c r="D29" s="113"/>
      <c r="E29" s="113"/>
      <c r="F29" s="113"/>
      <c r="G29" s="113"/>
      <c r="H29" s="113"/>
      <c r="I29" s="113"/>
      <c r="J29" s="113"/>
      <c r="K29" s="113"/>
      <c r="L29" s="113"/>
      <c r="M29" s="93">
        <f>+MAX(M30:M33)</f>
        <v>15</v>
      </c>
      <c r="N29" s="94"/>
      <c r="O29" s="95">
        <f>+MAX(O30:O33)</f>
        <v>11</v>
      </c>
      <c r="P29" s="94"/>
      <c r="Q29" s="95">
        <f>+MAX(Q30:Q33)</f>
        <v>0</v>
      </c>
      <c r="R29" s="92"/>
    </row>
    <row r="30" spans="1:18" ht="30" customHeight="1">
      <c r="A30" s="97"/>
      <c r="B30" s="98">
        <v>1</v>
      </c>
      <c r="C30" s="342" t="s">
        <v>501</v>
      </c>
      <c r="D30" s="343"/>
      <c r="E30" s="343"/>
      <c r="F30" s="343"/>
      <c r="G30" s="343"/>
      <c r="H30" s="343"/>
      <c r="I30" s="343"/>
      <c r="J30" s="343"/>
      <c r="K30" s="343"/>
      <c r="L30" s="344"/>
      <c r="M30" s="99">
        <v>15</v>
      </c>
      <c r="N30" s="105"/>
      <c r="O30" s="101">
        <f>+$M30*COUNTA(N30)</f>
        <v>0</v>
      </c>
      <c r="P30" s="100"/>
      <c r="Q30" s="101">
        <f>+$M30*COUNTA(P30)</f>
        <v>0</v>
      </c>
      <c r="R30" s="102"/>
    </row>
    <row r="31" spans="1:18" ht="30" customHeight="1">
      <c r="A31" s="97"/>
      <c r="B31" s="103">
        <v>2</v>
      </c>
      <c r="C31" s="121" t="s">
        <v>502</v>
      </c>
      <c r="D31" s="122"/>
      <c r="E31" s="122"/>
      <c r="F31" s="122"/>
      <c r="G31" s="122"/>
      <c r="H31" s="122"/>
      <c r="I31" s="122"/>
      <c r="J31" s="122"/>
      <c r="K31" s="122"/>
      <c r="L31" s="123"/>
      <c r="M31" s="104">
        <v>11</v>
      </c>
      <c r="N31" s="105" t="s">
        <v>688</v>
      </c>
      <c r="O31" s="106">
        <f>+$M31*COUNTA(N31)</f>
        <v>11</v>
      </c>
      <c r="P31" s="105"/>
      <c r="Q31" s="106">
        <f>+$M31*COUNTA(P31)</f>
        <v>0</v>
      </c>
      <c r="R31" s="107"/>
    </row>
    <row r="32" spans="1:18" ht="30" customHeight="1">
      <c r="A32" s="97"/>
      <c r="B32" s="103">
        <v>3</v>
      </c>
      <c r="C32" s="333" t="s">
        <v>503</v>
      </c>
      <c r="D32" s="334"/>
      <c r="E32" s="334"/>
      <c r="F32" s="334"/>
      <c r="G32" s="334"/>
      <c r="H32" s="334"/>
      <c r="I32" s="334"/>
      <c r="J32" s="334"/>
      <c r="K32" s="334"/>
      <c r="L32" s="335"/>
      <c r="M32" s="104">
        <v>7</v>
      </c>
      <c r="N32" s="105"/>
      <c r="O32" s="106">
        <f>+$M32*COUNTA(N32)</f>
        <v>0</v>
      </c>
      <c r="P32" s="105"/>
      <c r="Q32" s="106">
        <f>+$M32*COUNTA(P32)</f>
        <v>0</v>
      </c>
      <c r="R32" s="107"/>
    </row>
    <row r="33" spans="1:18" ht="30" customHeight="1">
      <c r="A33" s="97"/>
      <c r="B33" s="108">
        <v>4</v>
      </c>
      <c r="C33" s="336" t="s">
        <v>504</v>
      </c>
      <c r="D33" s="337"/>
      <c r="E33" s="337"/>
      <c r="F33" s="337"/>
      <c r="G33" s="337"/>
      <c r="H33" s="337"/>
      <c r="I33" s="337"/>
      <c r="J33" s="337"/>
      <c r="K33" s="337"/>
      <c r="L33" s="338"/>
      <c r="M33" s="109">
        <v>3</v>
      </c>
      <c r="N33" s="110"/>
      <c r="O33" s="111">
        <f>+$M33*COUNTA(N33)</f>
        <v>0</v>
      </c>
      <c r="P33" s="110"/>
      <c r="Q33" s="111">
        <f>+$M33*COUNTA(P33)</f>
        <v>0</v>
      </c>
      <c r="R33" s="112"/>
    </row>
    <row r="34" spans="1:18" s="96" customFormat="1" ht="30" customHeight="1">
      <c r="A34" s="90" t="s">
        <v>486</v>
      </c>
      <c r="B34" s="91" t="s">
        <v>505</v>
      </c>
      <c r="C34" s="113"/>
      <c r="D34" s="113"/>
      <c r="E34" s="113"/>
      <c r="F34" s="113"/>
      <c r="G34" s="113"/>
      <c r="H34" s="113"/>
      <c r="I34" s="113"/>
      <c r="J34" s="113"/>
      <c r="K34" s="113"/>
      <c r="L34" s="113"/>
      <c r="M34" s="93">
        <f>+MAX(M35:M38)</f>
        <v>10</v>
      </c>
      <c r="N34" s="94"/>
      <c r="O34" s="95">
        <f>+MAX(O35:O38)</f>
        <v>3</v>
      </c>
      <c r="P34" s="94"/>
      <c r="Q34" s="95">
        <f>+MAX(Q35:Q38)</f>
        <v>0</v>
      </c>
      <c r="R34" s="92"/>
    </row>
    <row r="35" spans="1:18" ht="30" customHeight="1">
      <c r="A35" s="97"/>
      <c r="B35" s="98">
        <v>1</v>
      </c>
      <c r="C35" s="342" t="s">
        <v>506</v>
      </c>
      <c r="D35" s="343"/>
      <c r="E35" s="343"/>
      <c r="F35" s="343"/>
      <c r="G35" s="343"/>
      <c r="H35" s="343"/>
      <c r="I35" s="343"/>
      <c r="J35" s="343"/>
      <c r="K35" s="343"/>
      <c r="L35" s="344"/>
      <c r="M35" s="99">
        <v>10</v>
      </c>
      <c r="N35" s="105"/>
      <c r="O35" s="101">
        <f>+$M35*COUNTA(N35)</f>
        <v>0</v>
      </c>
      <c r="P35" s="100"/>
      <c r="Q35" s="101">
        <f>+$M35*COUNTA(P35)</f>
        <v>0</v>
      </c>
      <c r="R35" s="102"/>
    </row>
    <row r="36" spans="1:18" ht="30" customHeight="1">
      <c r="A36" s="97"/>
      <c r="B36" s="103">
        <v>2</v>
      </c>
      <c r="C36" s="333" t="s">
        <v>507</v>
      </c>
      <c r="D36" s="334"/>
      <c r="E36" s="334"/>
      <c r="F36" s="334"/>
      <c r="G36" s="334"/>
      <c r="H36" s="334"/>
      <c r="I36" s="334"/>
      <c r="J36" s="334"/>
      <c r="K36" s="334"/>
      <c r="L36" s="335"/>
      <c r="M36" s="104">
        <v>7</v>
      </c>
      <c r="N36" s="105"/>
      <c r="O36" s="106">
        <f>+$M36*COUNTA(N36)</f>
        <v>0</v>
      </c>
      <c r="P36" s="105"/>
      <c r="Q36" s="106">
        <f>+$M36*COUNTA(P36)</f>
        <v>0</v>
      </c>
      <c r="R36" s="107"/>
    </row>
    <row r="37" spans="1:18" ht="30" customHeight="1">
      <c r="A37" s="97"/>
      <c r="B37" s="103">
        <v>3</v>
      </c>
      <c r="C37" s="333" t="s">
        <v>508</v>
      </c>
      <c r="D37" s="334"/>
      <c r="E37" s="334"/>
      <c r="F37" s="334"/>
      <c r="G37" s="334"/>
      <c r="H37" s="334"/>
      <c r="I37" s="334"/>
      <c r="J37" s="334"/>
      <c r="K37" s="334"/>
      <c r="L37" s="335"/>
      <c r="M37" s="104">
        <v>3</v>
      </c>
      <c r="N37" s="105" t="s">
        <v>688</v>
      </c>
      <c r="O37" s="106">
        <f>+$M37*COUNTA(N37)</f>
        <v>3</v>
      </c>
      <c r="P37" s="105"/>
      <c r="Q37" s="106">
        <f>+$M37*COUNTA(P37)</f>
        <v>0</v>
      </c>
      <c r="R37" s="107"/>
    </row>
    <row r="38" spans="1:18" ht="30" customHeight="1">
      <c r="A38" s="97"/>
      <c r="B38" s="108">
        <v>4</v>
      </c>
      <c r="C38" s="336" t="s">
        <v>509</v>
      </c>
      <c r="D38" s="337"/>
      <c r="E38" s="337"/>
      <c r="F38" s="337"/>
      <c r="G38" s="337"/>
      <c r="H38" s="337"/>
      <c r="I38" s="337"/>
      <c r="J38" s="337"/>
      <c r="K38" s="337"/>
      <c r="L38" s="338"/>
      <c r="M38" s="109">
        <v>0</v>
      </c>
      <c r="N38" s="110"/>
      <c r="O38" s="111">
        <f>+$M38*COUNTA(N38)</f>
        <v>0</v>
      </c>
      <c r="P38" s="110"/>
      <c r="Q38" s="111">
        <f>+$M38*COUNTA(P38)</f>
        <v>0</v>
      </c>
      <c r="R38" s="112"/>
    </row>
    <row r="39" spans="1:18" ht="4.5" customHeight="1">
      <c r="B39" s="76"/>
      <c r="C39" s="115"/>
      <c r="D39" s="115"/>
      <c r="E39" s="115"/>
      <c r="F39" s="115"/>
      <c r="G39" s="115"/>
      <c r="H39" s="115"/>
      <c r="I39" s="115"/>
      <c r="J39" s="115"/>
      <c r="K39" s="115"/>
      <c r="L39" s="115"/>
      <c r="M39" s="78"/>
      <c r="O39" s="117"/>
      <c r="Q39" s="117"/>
    </row>
    <row r="40" spans="1:18" s="89" customFormat="1" ht="30" customHeight="1">
      <c r="A40" s="80" t="s">
        <v>510</v>
      </c>
      <c r="B40" s="81" t="s">
        <v>511</v>
      </c>
      <c r="C40" s="118"/>
      <c r="D40" s="119"/>
      <c r="E40" s="119"/>
      <c r="F40" s="119"/>
      <c r="G40" s="119"/>
      <c r="H40" s="119"/>
      <c r="I40" s="119"/>
      <c r="J40" s="119"/>
      <c r="K40" s="119"/>
      <c r="L40" s="120"/>
      <c r="M40" s="85">
        <f>M41+M45+M49</f>
        <v>25</v>
      </c>
      <c r="N40" s="86"/>
      <c r="O40" s="85">
        <f>O41+O45+O49</f>
        <v>25</v>
      </c>
      <c r="P40" s="86"/>
      <c r="Q40" s="85">
        <f>Q41+Q45+Q49</f>
        <v>0</v>
      </c>
      <c r="R40" s="88"/>
    </row>
    <row r="41" spans="1:18" s="96" customFormat="1" ht="30" customHeight="1">
      <c r="A41" s="90" t="s">
        <v>480</v>
      </c>
      <c r="B41" s="91" t="s">
        <v>512</v>
      </c>
      <c r="C41" s="113"/>
      <c r="D41" s="113"/>
      <c r="E41" s="113"/>
      <c r="F41" s="113"/>
      <c r="G41" s="113"/>
      <c r="H41" s="113"/>
      <c r="I41" s="113"/>
      <c r="J41" s="113"/>
      <c r="K41" s="113"/>
      <c r="L41" s="113"/>
      <c r="M41" s="93">
        <f>+MAX(M42:M44)</f>
        <v>10</v>
      </c>
      <c r="N41" s="94"/>
      <c r="O41" s="95">
        <f>+MAX(O42:O44)</f>
        <v>10</v>
      </c>
      <c r="P41" s="94"/>
      <c r="Q41" s="95">
        <f>+MAX(Q42:Q44)</f>
        <v>0</v>
      </c>
      <c r="R41" s="92"/>
    </row>
    <row r="42" spans="1:18" ht="45.75" customHeight="1">
      <c r="A42" s="97"/>
      <c r="B42" s="98">
        <v>1</v>
      </c>
      <c r="C42" s="339" t="s">
        <v>513</v>
      </c>
      <c r="D42" s="340"/>
      <c r="E42" s="340"/>
      <c r="F42" s="340"/>
      <c r="G42" s="340"/>
      <c r="H42" s="340"/>
      <c r="I42" s="340"/>
      <c r="J42" s="340"/>
      <c r="K42" s="340"/>
      <c r="L42" s="341"/>
      <c r="M42" s="99">
        <v>10</v>
      </c>
      <c r="N42" s="105" t="s">
        <v>688</v>
      </c>
      <c r="O42" s="101">
        <f>+$M42*COUNTA(N42)</f>
        <v>10</v>
      </c>
      <c r="P42" s="100"/>
      <c r="Q42" s="101">
        <f>+$M42*COUNTA(P42)</f>
        <v>0</v>
      </c>
      <c r="R42" s="102"/>
    </row>
    <row r="43" spans="1:18" ht="30" customHeight="1">
      <c r="A43" s="97"/>
      <c r="B43" s="103">
        <v>2</v>
      </c>
      <c r="C43" s="333" t="s">
        <v>514</v>
      </c>
      <c r="D43" s="334"/>
      <c r="E43" s="334"/>
      <c r="F43" s="334"/>
      <c r="G43" s="334"/>
      <c r="H43" s="334"/>
      <c r="I43" s="334"/>
      <c r="J43" s="334"/>
      <c r="K43" s="334"/>
      <c r="L43" s="335"/>
      <c r="M43" s="124">
        <v>7</v>
      </c>
      <c r="N43" s="105"/>
      <c r="O43" s="106">
        <f>+$M43*COUNTA(N43)</f>
        <v>0</v>
      </c>
      <c r="P43" s="105"/>
      <c r="Q43" s="106">
        <f>+$M43*COUNTA(P43)</f>
        <v>0</v>
      </c>
      <c r="R43" s="107"/>
    </row>
    <row r="44" spans="1:18" ht="30" customHeight="1">
      <c r="A44" s="97"/>
      <c r="B44" s="108">
        <v>3</v>
      </c>
      <c r="C44" s="336" t="s">
        <v>515</v>
      </c>
      <c r="D44" s="337"/>
      <c r="E44" s="337"/>
      <c r="F44" s="337"/>
      <c r="G44" s="337"/>
      <c r="H44" s="337"/>
      <c r="I44" s="337"/>
      <c r="J44" s="337"/>
      <c r="K44" s="337"/>
      <c r="L44" s="338"/>
      <c r="M44" s="109">
        <v>3</v>
      </c>
      <c r="N44" s="110"/>
      <c r="O44" s="111">
        <f>+$M44*COUNTA(N44)</f>
        <v>0</v>
      </c>
      <c r="P44" s="110"/>
      <c r="Q44" s="111">
        <f>+$M44*COUNTA(P44)</f>
        <v>0</v>
      </c>
      <c r="R44" s="112"/>
    </row>
    <row r="45" spans="1:18" s="96" customFormat="1" ht="30" customHeight="1">
      <c r="A45" s="90" t="s">
        <v>486</v>
      </c>
      <c r="B45" s="91" t="s">
        <v>516</v>
      </c>
      <c r="C45" s="113"/>
      <c r="D45" s="113"/>
      <c r="E45" s="113"/>
      <c r="F45" s="113"/>
      <c r="G45" s="113"/>
      <c r="H45" s="113"/>
      <c r="I45" s="113"/>
      <c r="J45" s="113"/>
      <c r="K45" s="113"/>
      <c r="L45" s="113"/>
      <c r="M45" s="93">
        <f>+MAX(M46:M48)</f>
        <v>10</v>
      </c>
      <c r="N45" s="94"/>
      <c r="O45" s="95">
        <f>+MAX(O46:O48)</f>
        <v>10</v>
      </c>
      <c r="P45" s="94"/>
      <c r="Q45" s="95">
        <f>+MAX(Q46:Q48)</f>
        <v>0</v>
      </c>
      <c r="R45" s="92"/>
    </row>
    <row r="46" spans="1:18" ht="30" customHeight="1">
      <c r="A46" s="97"/>
      <c r="B46" s="98">
        <v>1</v>
      </c>
      <c r="C46" s="342" t="s">
        <v>517</v>
      </c>
      <c r="D46" s="343"/>
      <c r="E46" s="343"/>
      <c r="F46" s="343"/>
      <c r="G46" s="343"/>
      <c r="H46" s="343"/>
      <c r="I46" s="343"/>
      <c r="J46" s="343"/>
      <c r="K46" s="343"/>
      <c r="L46" s="344"/>
      <c r="M46" s="99">
        <v>10</v>
      </c>
      <c r="N46" s="105" t="s">
        <v>688</v>
      </c>
      <c r="O46" s="101">
        <f>+$M46*COUNTA(N46)</f>
        <v>10</v>
      </c>
      <c r="P46" s="100"/>
      <c r="Q46" s="101">
        <f>+$M46*COUNTA(P46)</f>
        <v>0</v>
      </c>
      <c r="R46" s="102"/>
    </row>
    <row r="47" spans="1:18" ht="30" customHeight="1">
      <c r="A47" s="97"/>
      <c r="B47" s="103">
        <v>2</v>
      </c>
      <c r="C47" s="333" t="s">
        <v>518</v>
      </c>
      <c r="D47" s="334"/>
      <c r="E47" s="334"/>
      <c r="F47" s="334"/>
      <c r="G47" s="334"/>
      <c r="H47" s="334"/>
      <c r="I47" s="334"/>
      <c r="J47" s="334"/>
      <c r="K47" s="334"/>
      <c r="L47" s="335"/>
      <c r="M47" s="104">
        <v>5</v>
      </c>
      <c r="N47" s="105"/>
      <c r="O47" s="106">
        <f>+$M47*COUNTA(N47)</f>
        <v>0</v>
      </c>
      <c r="P47" s="105"/>
      <c r="Q47" s="106">
        <f>+$M47*COUNTA(P47)</f>
        <v>0</v>
      </c>
      <c r="R47" s="107"/>
    </row>
    <row r="48" spans="1:18" ht="30" customHeight="1">
      <c r="A48" s="97"/>
      <c r="B48" s="108">
        <v>3</v>
      </c>
      <c r="C48" s="336" t="s">
        <v>519</v>
      </c>
      <c r="D48" s="337"/>
      <c r="E48" s="337"/>
      <c r="F48" s="337"/>
      <c r="G48" s="337"/>
      <c r="H48" s="337"/>
      <c r="I48" s="337"/>
      <c r="J48" s="337"/>
      <c r="K48" s="337"/>
      <c r="L48" s="338"/>
      <c r="M48" s="109"/>
      <c r="N48" s="110"/>
      <c r="O48" s="111">
        <f>+$M48*COUNTA(N48)</f>
        <v>0</v>
      </c>
      <c r="P48" s="110"/>
      <c r="Q48" s="111">
        <f>+$M48*COUNTA(P48)</f>
        <v>0</v>
      </c>
      <c r="R48" s="112"/>
    </row>
    <row r="49" spans="1:18" s="96" customFormat="1" ht="30" customHeight="1">
      <c r="A49" s="90" t="s">
        <v>520</v>
      </c>
      <c r="B49" s="91" t="s">
        <v>521</v>
      </c>
      <c r="C49" s="113"/>
      <c r="D49" s="113"/>
      <c r="E49" s="113"/>
      <c r="F49" s="113"/>
      <c r="G49" s="113"/>
      <c r="H49" s="113"/>
      <c r="I49" s="113"/>
      <c r="J49" s="113"/>
      <c r="K49" s="113"/>
      <c r="L49" s="113"/>
      <c r="M49" s="93">
        <f>+MAX(M50:M53)</f>
        <v>5</v>
      </c>
      <c r="N49" s="94"/>
      <c r="O49" s="95">
        <f>+MAX(O50:O53)</f>
        <v>5</v>
      </c>
      <c r="P49" s="94"/>
      <c r="Q49" s="95">
        <f>+MAX(Q50:Q53)</f>
        <v>0</v>
      </c>
      <c r="R49" s="92"/>
    </row>
    <row r="50" spans="1:18" ht="30" customHeight="1">
      <c r="A50" s="97"/>
      <c r="B50" s="114">
        <v>1</v>
      </c>
      <c r="C50" s="339" t="s">
        <v>522</v>
      </c>
      <c r="D50" s="340"/>
      <c r="E50" s="340"/>
      <c r="F50" s="340"/>
      <c r="G50" s="340"/>
      <c r="H50" s="340"/>
      <c r="I50" s="340"/>
      <c r="J50" s="340"/>
      <c r="K50" s="340"/>
      <c r="L50" s="341"/>
      <c r="M50" s="99">
        <v>5</v>
      </c>
      <c r="N50" s="105" t="s">
        <v>688</v>
      </c>
      <c r="O50" s="101">
        <f>+$M50*COUNTA(N50)</f>
        <v>5</v>
      </c>
      <c r="P50" s="100"/>
      <c r="Q50" s="101">
        <f>+$M50*COUNTA(P50)</f>
        <v>0</v>
      </c>
      <c r="R50" s="102"/>
    </row>
    <row r="51" spans="1:18" ht="30" customHeight="1">
      <c r="A51" s="97"/>
      <c r="B51" s="103">
        <v>2</v>
      </c>
      <c r="C51" s="333" t="s">
        <v>523</v>
      </c>
      <c r="D51" s="334"/>
      <c r="E51" s="334"/>
      <c r="F51" s="334"/>
      <c r="G51" s="334"/>
      <c r="H51" s="334"/>
      <c r="I51" s="334"/>
      <c r="J51" s="334"/>
      <c r="K51" s="334"/>
      <c r="L51" s="335"/>
      <c r="M51" s="104">
        <v>3</v>
      </c>
      <c r="N51" s="105"/>
      <c r="O51" s="106">
        <f>+$M51*COUNTA(N51)</f>
        <v>0</v>
      </c>
      <c r="P51" s="105"/>
      <c r="Q51" s="106">
        <f>+$M51*COUNTA(P51)</f>
        <v>0</v>
      </c>
      <c r="R51" s="107"/>
    </row>
    <row r="52" spans="1:18" ht="30" customHeight="1">
      <c r="A52" s="97"/>
      <c r="B52" s="103">
        <v>3</v>
      </c>
      <c r="C52" s="345" t="s">
        <v>524</v>
      </c>
      <c r="D52" s="346"/>
      <c r="E52" s="346"/>
      <c r="F52" s="346"/>
      <c r="G52" s="346"/>
      <c r="H52" s="346"/>
      <c r="I52" s="346"/>
      <c r="J52" s="346"/>
      <c r="K52" s="346"/>
      <c r="L52" s="347"/>
      <c r="M52" s="104">
        <v>2</v>
      </c>
      <c r="N52" s="105"/>
      <c r="O52" s="106">
        <f>+$M52*COUNTA(N52)</f>
        <v>0</v>
      </c>
      <c r="P52" s="105"/>
      <c r="Q52" s="106">
        <f>+$M52*COUNTA(P52)</f>
        <v>0</v>
      </c>
      <c r="R52" s="107"/>
    </row>
    <row r="53" spans="1:18" ht="30" customHeight="1">
      <c r="A53" s="97"/>
      <c r="B53" s="108">
        <v>4</v>
      </c>
      <c r="C53" s="330" t="s">
        <v>525</v>
      </c>
      <c r="D53" s="331"/>
      <c r="E53" s="331"/>
      <c r="F53" s="331"/>
      <c r="G53" s="331"/>
      <c r="H53" s="331"/>
      <c r="I53" s="331"/>
      <c r="J53" s="331"/>
      <c r="K53" s="331"/>
      <c r="L53" s="332"/>
      <c r="M53" s="109">
        <v>0</v>
      </c>
      <c r="N53" s="110"/>
      <c r="O53" s="111">
        <f>+$M53*COUNTA(N53)</f>
        <v>0</v>
      </c>
      <c r="P53" s="110"/>
      <c r="Q53" s="111">
        <f>+$M53*COUNTA(P53)</f>
        <v>0</v>
      </c>
      <c r="R53" s="112"/>
    </row>
    <row r="54" spans="1:18" ht="4.5" customHeight="1">
      <c r="D54" s="125"/>
      <c r="E54" s="125"/>
      <c r="F54" s="125"/>
      <c r="G54" s="125"/>
      <c r="H54" s="125"/>
      <c r="I54" s="125"/>
      <c r="J54" s="125"/>
      <c r="K54" s="125"/>
      <c r="L54" s="125"/>
    </row>
    <row r="55" spans="1:18" s="134" customFormat="1" ht="30" customHeight="1">
      <c r="A55" s="126" t="s">
        <v>526</v>
      </c>
      <c r="B55" s="127" t="s">
        <v>527</v>
      </c>
      <c r="C55" s="128"/>
      <c r="D55" s="128"/>
      <c r="E55" s="128"/>
      <c r="F55" s="128"/>
      <c r="G55" s="128"/>
      <c r="H55" s="128"/>
      <c r="I55" s="128"/>
      <c r="J55" s="128"/>
      <c r="K55" s="128"/>
      <c r="L55" s="128"/>
      <c r="M55" s="129"/>
      <c r="N55" s="130"/>
      <c r="O55" s="131"/>
      <c r="P55" s="130"/>
      <c r="Q55" s="132"/>
      <c r="R55" s="133"/>
    </row>
    <row r="56" spans="1:18" ht="3" customHeight="1"/>
    <row r="57" spans="1:18" ht="15" customHeight="1">
      <c r="A57" s="321" t="s">
        <v>528</v>
      </c>
      <c r="B57" s="321"/>
      <c r="C57" s="322" t="s">
        <v>529</v>
      </c>
      <c r="D57" s="323"/>
      <c r="E57" s="326" t="s">
        <v>530</v>
      </c>
      <c r="F57" s="327" t="s">
        <v>9</v>
      </c>
      <c r="G57" s="328"/>
      <c r="H57" s="135"/>
      <c r="I57" s="327" t="s">
        <v>10</v>
      </c>
      <c r="J57" s="328"/>
      <c r="K57" s="329"/>
      <c r="L57" s="135"/>
      <c r="M57" s="315" t="s">
        <v>531</v>
      </c>
      <c r="N57" s="316"/>
      <c r="O57" s="316"/>
      <c r="P57" s="316"/>
      <c r="Q57" s="317"/>
      <c r="R57" s="309" t="s">
        <v>476</v>
      </c>
    </row>
    <row r="58" spans="1:18" ht="15" customHeight="1">
      <c r="A58" s="321"/>
      <c r="B58" s="321"/>
      <c r="C58" s="324"/>
      <c r="D58" s="325"/>
      <c r="E58" s="326"/>
      <c r="F58" s="75" t="s">
        <v>474</v>
      </c>
      <c r="G58" s="136" t="s">
        <v>532</v>
      </c>
      <c r="H58" s="137"/>
      <c r="I58" s="138" t="s">
        <v>474</v>
      </c>
      <c r="J58" s="311" t="s">
        <v>532</v>
      </c>
      <c r="K58" s="312"/>
      <c r="L58" s="139"/>
      <c r="M58" s="318"/>
      <c r="N58" s="319"/>
      <c r="O58" s="319"/>
      <c r="P58" s="319"/>
      <c r="Q58" s="320"/>
      <c r="R58" s="310"/>
    </row>
    <row r="59" spans="1:18" ht="3" customHeight="1" thickBot="1">
      <c r="A59" s="140"/>
      <c r="B59" s="141"/>
      <c r="C59" s="141"/>
      <c r="D59" s="142"/>
      <c r="E59" s="143"/>
      <c r="F59" s="143"/>
      <c r="G59" s="143"/>
      <c r="H59" s="78"/>
      <c r="I59" s="143"/>
      <c r="J59" s="78"/>
      <c r="K59" s="144"/>
      <c r="L59" s="144"/>
      <c r="M59" s="145"/>
      <c r="N59" s="145"/>
      <c r="O59" s="145"/>
      <c r="P59" s="145"/>
      <c r="Q59" s="145"/>
      <c r="R59" s="143"/>
    </row>
    <row r="60" spans="1:18" s="154" customFormat="1" ht="15" customHeight="1" thickTop="1">
      <c r="A60" s="146"/>
      <c r="B60" s="147"/>
      <c r="C60" s="148" t="s">
        <v>13</v>
      </c>
      <c r="D60" s="148"/>
      <c r="E60" s="149">
        <f>+SUM(E61:E63)</f>
        <v>1</v>
      </c>
      <c r="F60" s="150">
        <f>SUM(F61:F63)</f>
        <v>72</v>
      </c>
      <c r="G60" s="151" t="str">
        <f>+IF(F60&gt;=95,"G",IF(F60&gt;=70,"K",IF(F60&gt;=50,"TB",IF(F60&gt;10,"Y","-"))))</f>
        <v>K</v>
      </c>
      <c r="H60" s="152"/>
      <c r="I60" s="150">
        <f>SUM(I61:I63)</f>
        <v>0</v>
      </c>
      <c r="J60" s="313" t="str">
        <f>IF(I60&gt;=95,"G",IF(I60&gt;=70,"K",IF(I60&gt;=50,"TB",IF(I60&gt;10,"Y","-"))))</f>
        <v>-</v>
      </c>
      <c r="K60" s="313"/>
      <c r="L60" s="139"/>
      <c r="M60" s="299" t="s">
        <v>533</v>
      </c>
      <c r="N60" s="300"/>
      <c r="O60" s="301" t="str">
        <f>IF(G60="G","GIỎI",IF(G60="K","KHÁ",IF(G60="TB","TRUNG BÌNH",IF(G60="Y","YẾU",0))))</f>
        <v>KHÁ</v>
      </c>
      <c r="P60" s="302"/>
      <c r="Q60" s="303"/>
      <c r="R60" s="153"/>
    </row>
    <row r="61" spans="1:18" ht="20.25" customHeight="1">
      <c r="A61" s="155" t="s">
        <v>534</v>
      </c>
      <c r="B61" s="156" t="s">
        <v>535</v>
      </c>
      <c r="C61" s="157" t="s">
        <v>536</v>
      </c>
      <c r="D61" s="158"/>
      <c r="E61" s="159">
        <v>0.5</v>
      </c>
      <c r="F61" s="160">
        <f>+$O$11</f>
        <v>33</v>
      </c>
      <c r="G61" s="161" t="str">
        <f>+IF(F61/$M11&gt;=95%,"G",IF(F61/$M11&gt;=70%,"K",IF(F61/$M11&gt;=50%,"TB",IF(F61/$M11&gt;10%,"Y","-"))))</f>
        <v>TB</v>
      </c>
      <c r="H61" s="162"/>
      <c r="I61" s="163">
        <f>+$Q$11</f>
        <v>0</v>
      </c>
      <c r="J61" s="314" t="str">
        <f>IF(I61/$M11&gt;=95%,"G",IF(I61/$M11&gt;=70%,"K",IF(I61/$M11&gt;=50%,"TB",IF(I61/$M11&gt;10%,"Y","-"))))</f>
        <v>-</v>
      </c>
      <c r="K61" s="314"/>
      <c r="L61" s="139"/>
      <c r="M61" s="300"/>
      <c r="N61" s="300"/>
      <c r="O61" s="304"/>
      <c r="P61" s="305"/>
      <c r="Q61" s="306"/>
      <c r="R61" s="164"/>
    </row>
    <row r="62" spans="1:18" ht="20.25" customHeight="1">
      <c r="A62" s="155" t="s">
        <v>537</v>
      </c>
      <c r="B62" s="156" t="s">
        <v>535</v>
      </c>
      <c r="C62" s="157" t="s">
        <v>538</v>
      </c>
      <c r="D62" s="158"/>
      <c r="E62" s="159">
        <v>0.25</v>
      </c>
      <c r="F62" s="160">
        <f>+$O$28</f>
        <v>14</v>
      </c>
      <c r="G62" s="165" t="str">
        <f>+IF(F62/$M28&gt;=95%,"G",IF(F62/$M28&gt;=70%,"K",IF(F62/$M28&gt;=50%,"TB",IF(F62/$M28&gt;10%,"Y","-"))))</f>
        <v>TB</v>
      </c>
      <c r="H62" s="162"/>
      <c r="I62" s="160">
        <f>+$Q$28</f>
        <v>0</v>
      </c>
      <c r="J62" s="298" t="str">
        <f>IF(I62/$M28&gt;=95%,"G",IF(I62/$M28&gt;=70%,"K",IF(I62/$M28&gt;=50%,"TB",IF(I62/$M28&gt;10%,"Y","-"))))</f>
        <v>-</v>
      </c>
      <c r="K62" s="298"/>
      <c r="L62" s="139"/>
      <c r="M62" s="299" t="s">
        <v>539</v>
      </c>
      <c r="N62" s="300"/>
      <c r="O62" s="301">
        <f>IF(J60="G","GIỎI",IF(J60="K","KHÁ",IF(J60="TB","TRUNG BÌNH",IF(J60="Y","YẾU",0))))</f>
        <v>0</v>
      </c>
      <c r="P62" s="302"/>
      <c r="Q62" s="303"/>
      <c r="R62" s="164"/>
    </row>
    <row r="63" spans="1:18" ht="20.25" customHeight="1">
      <c r="A63" s="166" t="s">
        <v>540</v>
      </c>
      <c r="B63" s="167" t="s">
        <v>535</v>
      </c>
      <c r="C63" s="168" t="s">
        <v>541</v>
      </c>
      <c r="D63" s="169"/>
      <c r="E63" s="170">
        <v>0.25</v>
      </c>
      <c r="F63" s="171">
        <f>+O40</f>
        <v>25</v>
      </c>
      <c r="G63" s="172" t="str">
        <f>IF(F63/$M40&gt;=95%,"G",IF(F63/$M40&gt;=70%,"K",IF(F63/$M40&gt;=50%,"TB",IF(F63/$M40&gt;10%,"Y","-"))))</f>
        <v>G</v>
      </c>
      <c r="H63" s="162"/>
      <c r="I63" s="171">
        <f>+$Q$40</f>
        <v>0</v>
      </c>
      <c r="J63" s="307" t="str">
        <f>IF(I63/$M40&gt;=95%,"G",IF(I63/$M40&gt;=70%,"K",IF(I63/$M40&gt;=50%,"TB",IF(I63/$M40&gt;1%,"Y","-"))))</f>
        <v>-</v>
      </c>
      <c r="K63" s="307"/>
      <c r="L63" s="139"/>
      <c r="M63" s="299"/>
      <c r="N63" s="300"/>
      <c r="O63" s="304"/>
      <c r="P63" s="305"/>
      <c r="Q63" s="306"/>
      <c r="R63" s="173"/>
    </row>
    <row r="64" spans="1:18" ht="4.5" customHeight="1">
      <c r="B64" s="76"/>
      <c r="C64" s="174"/>
      <c r="D64" s="174"/>
      <c r="E64" s="174"/>
      <c r="F64" s="174"/>
      <c r="G64" s="174"/>
      <c r="H64" s="174"/>
      <c r="I64" s="174"/>
      <c r="J64" s="174"/>
      <c r="K64" s="174"/>
      <c r="L64" s="174"/>
      <c r="M64" s="78"/>
      <c r="O64" s="117"/>
      <c r="Q64" s="117"/>
    </row>
    <row r="65" spans="1:19" s="134" customFormat="1" ht="30" customHeight="1">
      <c r="A65" s="126" t="s">
        <v>542</v>
      </c>
      <c r="B65" s="127" t="s">
        <v>543</v>
      </c>
      <c r="C65" s="128"/>
      <c r="D65" s="128"/>
      <c r="E65" s="128"/>
      <c r="F65" s="128"/>
      <c r="G65" s="128"/>
      <c r="H65" s="128"/>
      <c r="I65" s="128"/>
      <c r="J65" s="128"/>
      <c r="K65" s="128"/>
      <c r="L65" s="128"/>
      <c r="M65" s="129"/>
      <c r="N65" s="130"/>
      <c r="O65" s="131"/>
      <c r="P65" s="130"/>
      <c r="Q65" s="132"/>
      <c r="R65" s="133"/>
    </row>
    <row r="66" spans="1:19" s="177" customFormat="1" ht="24.95" customHeight="1">
      <c r="A66" s="308" t="s">
        <v>544</v>
      </c>
      <c r="B66" s="308"/>
      <c r="C66" s="308"/>
      <c r="D66" s="308"/>
      <c r="E66" s="308" t="s">
        <v>468</v>
      </c>
      <c r="F66" s="308"/>
      <c r="G66" s="308"/>
      <c r="H66" s="308"/>
      <c r="I66" s="308"/>
      <c r="J66" s="308" t="s">
        <v>545</v>
      </c>
      <c r="K66" s="308"/>
      <c r="L66" s="308"/>
      <c r="M66" s="308"/>
      <c r="N66" s="308"/>
      <c r="O66" s="308"/>
      <c r="P66" s="308"/>
      <c r="Q66" s="308"/>
      <c r="R66" s="175"/>
      <c r="S66" s="176"/>
    </row>
    <row r="67" spans="1:19" ht="21" customHeight="1">
      <c r="A67" s="293"/>
      <c r="B67" s="294"/>
      <c r="C67" s="294"/>
      <c r="D67" s="294"/>
      <c r="E67" s="293"/>
      <c r="F67" s="294"/>
      <c r="G67" s="294"/>
      <c r="H67" s="294"/>
      <c r="I67" s="295"/>
      <c r="J67" s="296"/>
      <c r="K67" s="296"/>
      <c r="L67" s="296"/>
      <c r="M67" s="296"/>
      <c r="N67" s="296"/>
      <c r="O67" s="296"/>
      <c r="P67" s="296"/>
      <c r="Q67" s="297"/>
      <c r="R67" s="178"/>
    </row>
    <row r="68" spans="1:19" ht="21" customHeight="1">
      <c r="A68" s="288"/>
      <c r="B68" s="289"/>
      <c r="C68" s="289"/>
      <c r="D68" s="289"/>
      <c r="E68" s="288"/>
      <c r="F68" s="289"/>
      <c r="G68" s="289"/>
      <c r="H68" s="289"/>
      <c r="I68" s="290"/>
      <c r="J68" s="291"/>
      <c r="K68" s="291"/>
      <c r="L68" s="291"/>
      <c r="M68" s="291"/>
      <c r="N68" s="291"/>
      <c r="O68" s="291"/>
      <c r="P68" s="291"/>
      <c r="Q68" s="292"/>
      <c r="R68" s="179"/>
    </row>
    <row r="69" spans="1:19" ht="21" customHeight="1">
      <c r="A69" s="288"/>
      <c r="B69" s="289"/>
      <c r="C69" s="289"/>
      <c r="D69" s="289"/>
      <c r="E69" s="288"/>
      <c r="F69" s="289"/>
      <c r="G69" s="289"/>
      <c r="H69" s="289"/>
      <c r="I69" s="290"/>
      <c r="J69" s="291"/>
      <c r="K69" s="291"/>
      <c r="L69" s="291"/>
      <c r="M69" s="291"/>
      <c r="N69" s="291"/>
      <c r="O69" s="291"/>
      <c r="P69" s="291"/>
      <c r="Q69" s="292"/>
      <c r="R69" s="179"/>
    </row>
    <row r="70" spans="1:19" ht="21" customHeight="1">
      <c r="A70" s="288"/>
      <c r="B70" s="289"/>
      <c r="C70" s="289"/>
      <c r="D70" s="289"/>
      <c r="E70" s="288"/>
      <c r="F70" s="289"/>
      <c r="G70" s="289"/>
      <c r="H70" s="289"/>
      <c r="I70" s="290"/>
      <c r="J70" s="291"/>
      <c r="K70" s="291"/>
      <c r="L70" s="291"/>
      <c r="M70" s="291"/>
      <c r="N70" s="291"/>
      <c r="O70" s="291"/>
      <c r="P70" s="291"/>
      <c r="Q70" s="292"/>
      <c r="R70" s="179"/>
    </row>
    <row r="71" spans="1:19" ht="21" customHeight="1">
      <c r="A71" s="180" t="s">
        <v>546</v>
      </c>
      <c r="B71" s="69"/>
      <c r="C71" s="69"/>
      <c r="D71" s="70"/>
      <c r="E71" s="180" t="s">
        <v>546</v>
      </c>
      <c r="F71" s="69"/>
      <c r="G71" s="69"/>
      <c r="H71" s="69"/>
      <c r="I71" s="69"/>
      <c r="J71" s="180" t="s">
        <v>546</v>
      </c>
      <c r="K71" s="181"/>
      <c r="L71" s="181"/>
      <c r="M71" s="181"/>
      <c r="N71" s="181"/>
      <c r="O71" s="181"/>
      <c r="P71" s="181"/>
      <c r="Q71" s="182"/>
      <c r="R71" s="179"/>
    </row>
    <row r="72" spans="1:19" ht="21" customHeight="1">
      <c r="A72" s="285" t="s">
        <v>581</v>
      </c>
      <c r="B72" s="286"/>
      <c r="C72" s="286"/>
      <c r="D72" s="287"/>
      <c r="E72" s="285" t="s">
        <v>547</v>
      </c>
      <c r="F72" s="286"/>
      <c r="G72" s="286"/>
      <c r="H72" s="286"/>
      <c r="I72" s="287"/>
      <c r="J72" s="285" t="s">
        <v>547</v>
      </c>
      <c r="K72" s="286"/>
      <c r="L72" s="286"/>
      <c r="M72" s="286"/>
      <c r="N72" s="286"/>
      <c r="O72" s="286"/>
      <c r="P72" s="286"/>
      <c r="Q72" s="287"/>
      <c r="R72" s="183"/>
    </row>
    <row r="73" spans="1:19" ht="30" customHeight="1">
      <c r="A73" s="184" t="s">
        <v>548</v>
      </c>
      <c r="B73" s="76"/>
      <c r="C73" s="185"/>
      <c r="D73" s="186"/>
      <c r="E73" s="186"/>
      <c r="F73" s="186"/>
      <c r="G73" s="186"/>
      <c r="H73" s="186"/>
      <c r="I73" s="186"/>
      <c r="J73" s="186"/>
      <c r="K73" s="186"/>
      <c r="L73" s="186"/>
      <c r="M73" s="78"/>
      <c r="N73" s="187"/>
      <c r="P73" s="187"/>
      <c r="R73" s="78"/>
    </row>
    <row r="74" spans="1:19" ht="30" customHeight="1">
      <c r="A74" s="283" t="s">
        <v>549</v>
      </c>
      <c r="B74" s="283"/>
      <c r="C74" s="283"/>
      <c r="D74" s="283"/>
      <c r="E74" s="283"/>
      <c r="F74" s="283"/>
      <c r="G74" s="283"/>
      <c r="H74" s="283"/>
      <c r="I74" s="283"/>
      <c r="J74" s="283"/>
      <c r="K74" s="283"/>
      <c r="L74" s="283"/>
      <c r="M74" s="283"/>
      <c r="N74" s="283"/>
      <c r="O74" s="283"/>
      <c r="P74" s="283"/>
      <c r="Q74" s="283"/>
      <c r="R74" s="188"/>
    </row>
    <row r="75" spans="1:19" ht="21" customHeight="1">
      <c r="A75" s="189"/>
      <c r="C75" s="189" t="s">
        <v>550</v>
      </c>
      <c r="D75" s="281" t="s">
        <v>551</v>
      </c>
      <c r="E75" s="281"/>
      <c r="F75" s="188"/>
      <c r="G75" s="283" t="s">
        <v>552</v>
      </c>
      <c r="H75" s="284"/>
      <c r="I75" s="281" t="s">
        <v>553</v>
      </c>
      <c r="J75" s="282"/>
      <c r="K75" s="282"/>
      <c r="L75" s="282"/>
      <c r="M75" s="282"/>
      <c r="N75" s="282"/>
      <c r="O75" s="282"/>
      <c r="P75" s="282"/>
      <c r="Q75" s="282"/>
      <c r="R75" s="188"/>
    </row>
    <row r="76" spans="1:19" ht="21" customHeight="1">
      <c r="A76" s="189"/>
      <c r="C76" s="189" t="s">
        <v>554</v>
      </c>
      <c r="D76" s="281" t="s">
        <v>555</v>
      </c>
      <c r="E76" s="282"/>
      <c r="F76" s="282"/>
      <c r="G76" s="283" t="s">
        <v>556</v>
      </c>
      <c r="H76" s="284"/>
      <c r="I76" s="281" t="s">
        <v>557</v>
      </c>
      <c r="J76" s="282"/>
      <c r="K76" s="282"/>
      <c r="L76" s="282"/>
      <c r="M76" s="282"/>
      <c r="N76" s="282"/>
      <c r="O76" s="282"/>
      <c r="P76" s="282"/>
      <c r="Q76" s="282"/>
      <c r="R76" s="188"/>
    </row>
    <row r="77" spans="1:19" ht="21" customHeight="1">
      <c r="A77" s="189"/>
      <c r="C77" s="189"/>
      <c r="D77" s="281"/>
      <c r="E77" s="282"/>
      <c r="F77" s="282"/>
      <c r="G77" s="190"/>
      <c r="H77" s="191"/>
      <c r="I77" s="281"/>
      <c r="J77" s="282"/>
      <c r="K77" s="282"/>
      <c r="L77" s="282"/>
      <c r="M77" s="282"/>
      <c r="N77" s="282"/>
      <c r="O77" s="282"/>
      <c r="P77" s="282"/>
      <c r="Q77" s="282"/>
      <c r="R77" s="188"/>
    </row>
    <row r="82" ht="3.75" customHeight="1"/>
  </sheetData>
  <mergeCells count="89">
    <mergeCell ref="F3:M3"/>
    <mergeCell ref="D4:G4"/>
    <mergeCell ref="H4:L4"/>
    <mergeCell ref="M4:Q4"/>
    <mergeCell ref="D5:G5"/>
    <mergeCell ref="H5:L5"/>
    <mergeCell ref="M5:Q5"/>
    <mergeCell ref="C18:L18"/>
    <mergeCell ref="D6:G6"/>
    <mergeCell ref="H6:L6"/>
    <mergeCell ref="M6:Q6"/>
    <mergeCell ref="A8:A9"/>
    <mergeCell ref="B8:B9"/>
    <mergeCell ref="C8:L9"/>
    <mergeCell ref="M8:M9"/>
    <mergeCell ref="N8:O8"/>
    <mergeCell ref="P8:Q8"/>
    <mergeCell ref="R8:R9"/>
    <mergeCell ref="C13:L13"/>
    <mergeCell ref="C14:L14"/>
    <mergeCell ref="C15:L15"/>
    <mergeCell ref="C16:L16"/>
    <mergeCell ref="C36:L36"/>
    <mergeCell ref="C19:L19"/>
    <mergeCell ref="C20:L20"/>
    <mergeCell ref="C21:L21"/>
    <mergeCell ref="C23:L23"/>
    <mergeCell ref="C24:L24"/>
    <mergeCell ref="C25:L25"/>
    <mergeCell ref="C26:L26"/>
    <mergeCell ref="C30:L30"/>
    <mergeCell ref="C32:L32"/>
    <mergeCell ref="C33:L33"/>
    <mergeCell ref="C35:L35"/>
    <mergeCell ref="C53:L53"/>
    <mergeCell ref="C37:L37"/>
    <mergeCell ref="C38:L38"/>
    <mergeCell ref="C42:L42"/>
    <mergeCell ref="C43:L43"/>
    <mergeCell ref="C44:L44"/>
    <mergeCell ref="C46:L46"/>
    <mergeCell ref="C47:L47"/>
    <mergeCell ref="C48:L48"/>
    <mergeCell ref="C50:L50"/>
    <mergeCell ref="C51:L51"/>
    <mergeCell ref="C52:L52"/>
    <mergeCell ref="A57:B58"/>
    <mergeCell ref="C57:D58"/>
    <mergeCell ref="E57:E58"/>
    <mergeCell ref="F57:G57"/>
    <mergeCell ref="I57:K57"/>
    <mergeCell ref="R57:R58"/>
    <mergeCell ref="J58:K58"/>
    <mergeCell ref="J60:K60"/>
    <mergeCell ref="M60:N61"/>
    <mergeCell ref="O60:Q61"/>
    <mergeCell ref="J61:K61"/>
    <mergeCell ref="M57:Q58"/>
    <mergeCell ref="J62:K62"/>
    <mergeCell ref="M62:N63"/>
    <mergeCell ref="O62:Q63"/>
    <mergeCell ref="J63:K63"/>
    <mergeCell ref="A66:D66"/>
    <mergeCell ref="E66:I66"/>
    <mergeCell ref="J66:Q66"/>
    <mergeCell ref="A67:D67"/>
    <mergeCell ref="E67:I67"/>
    <mergeCell ref="J67:Q67"/>
    <mergeCell ref="A68:D68"/>
    <mergeCell ref="E68:I68"/>
    <mergeCell ref="J68:Q68"/>
    <mergeCell ref="A69:D69"/>
    <mergeCell ref="E69:I69"/>
    <mergeCell ref="J69:Q69"/>
    <mergeCell ref="A70:D70"/>
    <mergeCell ref="E70:I70"/>
    <mergeCell ref="J70:Q70"/>
    <mergeCell ref="A72:D72"/>
    <mergeCell ref="E72:I72"/>
    <mergeCell ref="J72:Q72"/>
    <mergeCell ref="A74:Q74"/>
    <mergeCell ref="D75:E75"/>
    <mergeCell ref="G75:H75"/>
    <mergeCell ref="I75:Q75"/>
    <mergeCell ref="D76:F76"/>
    <mergeCell ref="G76:H76"/>
    <mergeCell ref="I76:Q76"/>
    <mergeCell ref="D77:F77"/>
    <mergeCell ref="I77:Q77"/>
  </mergeCells>
  <conditionalFormatting sqref="O50:O53 Q50:Q53 O46:O48 Q42:Q44 O42:O44 Q46:Q48 Q30:Q33 Q35:Q38 O30:O33 O35:O38 O23:O26 Q13:Q16 Q18:Q21 O18:O21 O13:O16 Q23:Q26">
    <cfRule type="cellIs" dxfId="2" priority="3" stopIfTrue="1" operator="greaterThan">
      <formula>0</formula>
    </cfRule>
  </conditionalFormatting>
  <conditionalFormatting sqref="P50:P53 P13:P48 N13:N48 N50:N53">
    <cfRule type="cellIs" dxfId="1" priority="1" stopIfTrue="1" operator="equal">
      <formula>0</formula>
    </cfRule>
    <cfRule type="cellIs" dxfId="0" priority="2" stopIfTrue="1" operator="greaterThan">
      <formula>0</formula>
    </cfRule>
  </conditionalFormatting>
  <hyperlinks>
    <hyperlink ref="C62" location="Sheet1!B46" display="Chất lượng công việc"/>
    <hyperlink ref="C61" location="Sheet1!B41" display="Khối lượng công việc "/>
    <hyperlink ref="C63" location="Sheet1!B46" display="Chất lượng công việc"/>
  </hyperlinks>
  <printOptions horizontalCentered="1"/>
  <pageMargins left="0" right="0" top="0" bottom="0" header="0.5" footer="0.5"/>
  <pageSetup paperSize="9" scale="80" orientation="portrait" r:id="rId1"/>
  <headerFooter alignWithMargins="0"/>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TONG HOP</vt:lpstr>
      <vt:lpstr>DANH SÁCH</vt:lpstr>
      <vt:lpstr>DANH GIA CA NHAN</vt:lpstr>
      <vt:lpstr>'DANH GIA CA NHAN'!_Hlk108062459</vt:lpstr>
      <vt:lpstr>'DANH GIA CA NHAN'!Check1</vt:lpstr>
      <vt:lpstr>'DANH SÁCH'!Print_Area</vt:lpstr>
      <vt:lpstr>'DANH GIA CA NHAN'!Print_Titles</vt:lpstr>
      <vt:lpstr>'DANH SÁCH'!Print_Titles</vt:lpstr>
      <vt:lpstr>'TONG HOP'!Print_Titles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HUYỀN, VÕ THỊ THANH</dc:creator>
  <cp:lastModifiedBy>TRUNG, TRƯƠNG TẤN</cp:lastModifiedBy>
  <dcterms:created xsi:type="dcterms:W3CDTF">2024-12-03T02:21:27Z</dcterms:created>
  <dcterms:modified xsi:type="dcterms:W3CDTF">2025-12-11T09:20:23Z</dcterms:modified>
</cp:coreProperties>
</file>